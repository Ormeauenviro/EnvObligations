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openxmlformats.org/officeDocument/2006/relationships/custom-properties" Target="docProps/custom.xml"/><Relationship Id="rId7" Type="http://schemas.openxmlformats.org/officeDocument/2006/relationships/extended-properties" Target="docProps/app.xml"/><Relationship Id="Rd9f1e87554dd4d90" Type="http://schemas.microsoft.com/office/2007/relationships/ui/extensibility" Target="customUI/customUI14.xml"/><Relationship Id="rId1" Type="http://schemas.openxmlformats.org/officeDocument/2006/relationships/officeDocument" Target="xl/workbook.xml"/><Relationship Id="rId6" Type="http://schemas.openxmlformats.org/package/2006/relationships/metadata/core-properties" Target="docProps/core.xml"/><Relationship Id="rId5" Type="http://schemas.microsoft.com/office/2006/relationships/ui/userCustomization" Target="userCustomization/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updateLinks="never" codeName="ThisWorkbook" hidePivotFieldList="1"/>
  <mc:AlternateContent xmlns:mc="http://schemas.openxmlformats.org/markup-compatibility/2006">
    <mc:Choice Requires="x15">
      <x15ac:absPath xmlns:x15ac="http://schemas.microsoft.com/office/spreadsheetml/2010/11/ac" url="https://dtinfrastructurecomau.sharepoint.com/sites/DTI-20151005_QTMP/Shared Documents/01-HSE HEALTH SAFETY &amp; ENVIRONMENT/03 ENVIRONMENT/HSE 03 Enviro Records/01_Forms and Registers/3. Registers/"/>
    </mc:Choice>
  </mc:AlternateContent>
  <xr:revisionPtr revIDLastSave="704" documentId="8_{71E5E3EC-D4C3-4DB5-9D3B-C4CD73062B59}" xr6:coauthVersionLast="47" xr6:coauthVersionMax="47" xr10:uidLastSave="{061BC3E5-C9A5-4F3B-AA87-FA83B5B2C4CB}"/>
  <bookViews>
    <workbookView xWindow="-120" yWindow="-120" windowWidth="29040" windowHeight="15720" firstSheet="9" activeTab="10" xr2:uid="{27FACEC3-B42D-496E-8C38-61639BE4B28B}"/>
  </bookViews>
  <sheets>
    <sheet name="Instructions" sheetId="28" r:id="rId1"/>
    <sheet name="_Template" sheetId="37" r:id="rId2"/>
    <sheet name="Summary" sheetId="27" r:id="rId3"/>
    <sheet name="CEMP and General Requirements" sheetId="42" r:id="rId4"/>
    <sheet name="PFAS CMP Requirements" sheetId="43" r:id="rId5"/>
    <sheet name="ADR WWBW Conditions" sheetId="30" r:id="rId6"/>
    <sheet name="Bridge Creek DA Conditions" sheetId="48" r:id="rId7"/>
    <sheet name="No Name DA Conditions" sheetId="49" r:id="rId8"/>
    <sheet name="Marine Plants DA Conditions" sheetId="31" r:id="rId9"/>
    <sheet name="No Name Operational Works" sheetId="50" r:id="rId10"/>
    <sheet name="External CHMP Conditions" sheetId="36" r:id="rId11"/>
    <sheet name="RPP Exemption" sheetId="38" r:id="rId12"/>
    <sheet name="Specification Requirements" sheetId="25" r:id="rId13"/>
    <sheet name="Reporting Matrix" sheetId="47" r:id="rId14"/>
    <sheet name="Legislation" sheetId="32" r:id="rId15"/>
    <sheet name="_Doc Ref" sheetId="34" r:id="rId16"/>
  </sheets>
  <externalReferences>
    <externalReference r:id="rId17"/>
  </externalReferences>
  <definedNames>
    <definedName name="_Copyright" hidden="1">"Copyright © 2013, Clarkson ITT Pty Limited"</definedName>
    <definedName name="_xlnm._FilterDatabase" localSheetId="1" hidden="1">_Template!$A$5:$L$5</definedName>
    <definedName name="_xlnm._FilterDatabase" localSheetId="5" hidden="1">'ADR WWBW Conditions'!$A$5:$K$5</definedName>
    <definedName name="_xlnm._FilterDatabase" localSheetId="10" hidden="1">'External CHMP Conditions'!$A$5:$L$5</definedName>
    <definedName name="_xlnm._FilterDatabase" localSheetId="14" hidden="1">Legislation!$A$5:$L$5</definedName>
    <definedName name="_xlnm._FilterDatabase" localSheetId="8" hidden="1">'Marine Plants DA Conditions'!$A$5:$J$5</definedName>
    <definedName name="_xlnm._FilterDatabase" localSheetId="11" hidden="1">'RPP Exemption'!$A$5:$L$5</definedName>
    <definedName name="_xlnm._FilterDatabase" localSheetId="12" hidden="1">'Specification Requirements'!$A$5:$L$5</definedName>
    <definedName name="Assumptions" localSheetId="0">Instructions!$B$16</definedName>
    <definedName name="Assumptions" localSheetId="2">#REF!</definedName>
    <definedName name="Assumptions">#REF!</definedName>
    <definedName name="Change_head_contract">[1]List!$A$3:$A$4</definedName>
    <definedName name="Chart" localSheetId="0">Instructions!#REF!</definedName>
    <definedName name="Chart" localSheetId="2">#REF!</definedName>
    <definedName name="Chart">#REF!</definedName>
    <definedName name="DME_BeforeCloseCompleted" hidden="1">"True"</definedName>
    <definedName name="DME_Dirty" hidden="1">"False"</definedName>
    <definedName name="Input" localSheetId="0">Instructions!#REF!</definedName>
    <definedName name="Input" localSheetId="2">#REF!</definedName>
    <definedName name="Input">#REF!</definedName>
    <definedName name="Lists" localSheetId="0">Instructions!#REF!</definedName>
    <definedName name="Lists" localSheetId="2">#REF!</definedName>
    <definedName name="Lists">#REF!</definedName>
    <definedName name="OLE_LINK1" localSheetId="0">Instructions!$F$49</definedName>
    <definedName name="Pivot" localSheetId="0">Instructions!#REF!</definedName>
    <definedName name="Pivot" localSheetId="2">#REF!</definedName>
    <definedName name="Pivot">#REF!</definedName>
    <definedName name="_xlnm.Print_Area" localSheetId="1">_Template!$A$2:$L$19</definedName>
    <definedName name="_xlnm.Print_Area" localSheetId="5">'ADR WWBW Conditions'!$A$2:$K$12</definedName>
    <definedName name="_xlnm.Print_Area" localSheetId="10">'External CHMP Conditions'!$A$2:$L$22</definedName>
    <definedName name="_xlnm.Print_Area" localSheetId="0">Instructions!$A$1:$I$35</definedName>
    <definedName name="_xlnm.Print_Area" localSheetId="14">Legislation!$A$2:$L$22</definedName>
    <definedName name="_xlnm.Print_Area" localSheetId="8">'Marine Plants DA Conditions'!$A$2:$J$19</definedName>
    <definedName name="_xlnm.Print_Area" localSheetId="11">'RPP Exemption'!$A$2:$L$8</definedName>
    <definedName name="_xlnm.Print_Area" localSheetId="12">'Specification Requirements'!$A$2:$L$26</definedName>
    <definedName name="_xlnm.Print_Area" localSheetId="2">Summary!$A$1:$D$31</definedName>
    <definedName name="Sheet1" localSheetId="0">Instructions!#REF!</definedName>
    <definedName name="Sheet1" localSheetId="2">#REF!</definedName>
    <definedName name="Sheet1">#REF!</definedName>
    <definedName name="Sheet2" localSheetId="0">Instructions!#REF!</definedName>
    <definedName name="Sheet2" localSheetId="2">#REF!</definedName>
    <definedName name="Sheet2">#REF!</definedName>
    <definedName name="Sheet3" localSheetId="0">Instructions!#REF!</definedName>
    <definedName name="Sheet3" localSheetId="2">#REF!</definedName>
    <definedName name="Sheet3">#REF!</definedName>
    <definedName name="Status">[1]List!$D$3:$D$13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27" l="1"/>
  <c r="B24" i="27"/>
  <c r="B23" i="27"/>
  <c r="B22" i="27"/>
  <c r="B21" i="27"/>
  <c r="B20"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Siobhan.Jennings</author>
  </authors>
  <commentList>
    <comment ref="G5" authorId="0" shapeId="0" xr:uid="{6CC25ADF-60B2-F34C-81F6-FE307840D58C}">
      <text>
        <r>
          <rPr>
            <sz val="9"/>
            <color indexed="81"/>
            <rFont val="Tahoma"/>
            <family val="2"/>
          </rPr>
          <t>Refer to Project /Site Consequence, Likelihood and Risk Rating (Zero Harm Risk Management DA-ZH-PR028 and Annex B – Downer Environment Incident Classification and Consequences Guide)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tc={B05B6596-C3BC-BD40-82F0-22A6241B84A5}</author>
  </authors>
  <commentList>
    <comment ref="A18" authorId="0" shapeId="0" xr:uid="{B05B6596-C3BC-BD40-82F0-22A6241B84A5}">
      <text>
        <t>[Threaded comment]
Your version of Excel allows you to read this threaded comment; however, any edits to it will get removed if the file is opened in a newer version of Excel. Learn more: https://go.microsoft.com/fwlink/?linkid=870924
Comment:
    Summary sheet has not been updated to include all sheets as yet, currently only totals the Specification sheet.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tc={5B7FE9C4-EBD9-0D4F-AB05-736254FA9E71}</author>
    <author>tc={2A6EA97C-E7CD-E443-836A-5B3234AA2A82}</author>
    <author>tc={4FCB6FDA-2042-124C-8788-6275A27BCC15}</author>
    <author>tc={C0FC160D-304F-B146-A5FB-2ABA6012B16C}</author>
    <author>tc={6A358F24-4BD7-4141-B1B9-54C6B3AADABA}</author>
    <author>tc={ADB2C9B7-B81F-2B4C-BAC3-2BB50137A7D9}</author>
    <author>tc={C7CD194B-B652-8942-B6D8-21AD1F9BC7FB}</author>
    <author>tc={EE94BFFF-C779-9C4A-B1B6-9775CEE0EF02}</author>
    <author>tc={F7F2946C-2BA2-4F4C-B2F5-E2C5B74BCFAB}</author>
    <author>tc={5F9D9667-35E8-0B41-A3C2-F122093BD6B0}</author>
  </authors>
  <commentList>
    <comment ref="E13" authorId="0" shapeId="0" xr:uid="{5B7FE9C4-EBD9-0D4F-AB05-736254FA9E71}">
      <text>
        <t>[Threaded comment]
Your version of Excel allows you to read this threaded comment; however, any edits to it will get removed if the file is opened in a newer version of Excel. Learn more: https://go.microsoft.com/fwlink/?linkid=870924
Comment:
    Checklist of monitoring requirements could be developed and included in Lucidity.</t>
      </text>
    </comment>
    <comment ref="E16" authorId="1" shapeId="0" xr:uid="{2A6EA97C-E7CD-E443-836A-5B3234AA2A82}">
      <text>
        <t>[Threaded comment]
Your version of Excel allows you to read this threaded comment; however, any edits to it will get removed if the file is opened in a newer version of Excel. Learn more: https://go.microsoft.com/fwlink/?linkid=870924
Comment:
    Checklist of monitoring requirements could be developed and included in Lucidity.</t>
      </text>
    </comment>
    <comment ref="E17" authorId="2" shapeId="0" xr:uid="{4FCB6FDA-2042-124C-8788-6275A27BCC15}">
      <text>
        <t>[Threaded comment]
Your version of Excel allows you to read this threaded comment; however, any edits to it will get removed if the file is opened in a newer version of Excel. Learn more: https://go.microsoft.com/fwlink/?linkid=870924
Comment:
    Checklist of monitoring requirements could be developed and included in Lucidity.</t>
      </text>
    </comment>
    <comment ref="E18" authorId="3" shapeId="0" xr:uid="{C0FC160D-304F-B146-A5FB-2ABA6012B16C}">
      <text>
        <t>[Threaded comment]
Your version of Excel allows you to read this threaded comment; however, any edits to it will get removed if the file is opened in a newer version of Excel. Learn more: https://go.microsoft.com/fwlink/?linkid=870924
Comment:
    Checklist of monitoring requirements could be developed and included in Lucidity.</t>
      </text>
    </comment>
    <comment ref="C26" authorId="4" shapeId="0" xr:uid="{6A358F24-4BD7-4141-B1B9-54C6B3AADABA}">
      <text>
        <t xml:space="preserve">[Threaded comment]
Your version of Excel allows you to read this threaded comment; however, any edits to it will get removed if the file is opened in a newer version of Excel. Learn more: https://go.microsoft.com/fwlink/?linkid=870924
Comment:
    Requirement for monitoring equipment in CEMP however monitoring specifics not noted. </t>
      </text>
    </comment>
    <comment ref="G26" authorId="5" shapeId="0" xr:uid="{ADB2C9B7-B81F-2B4C-BAC3-2BB50137A7D9}">
      <text>
        <t>[Threaded comment]
Your version of Excel allows you to read this threaded comment; however, any edits to it will get removed if the file is opened in a newer version of Excel. Learn more: https://go.microsoft.com/fwlink/?linkid=870924
Comment:
    Later in the section ‘suitably qualified environmental consultant’ if used - is this air quality consultant?</t>
      </text>
    </comment>
    <comment ref="C28" authorId="6" shapeId="0" xr:uid="{C7CD194B-B652-8942-B6D8-21AD1F9BC7FB}">
      <text>
        <t>[Threaded comment]
Your version of Excel allows you to read this threaded comment; however, any edits to it will get removed if the file is opened in a newer version of Excel. Learn more: https://go.microsoft.com/fwlink/?linkid=870924
Comment:
    Not explicitly ongoing monitoring or reporting but a deliverable (assessment).</t>
      </text>
    </comment>
    <comment ref="C33" authorId="7" shapeId="0" xr:uid="{EE94BFFF-C779-9C4A-B1B6-9775CEE0EF02}">
      <text>
        <t>[Threaded comment]
Your version of Excel allows you to read this threaded comment; however, any edits to it will get removed if the file is opened in a newer version of Excel. Learn more: https://go.microsoft.com/fwlink/?linkid=870924
Comment:
    Note reference inspection checklist is to Downer project (WLU Warrnambool Line Upgrade).</t>
      </text>
    </comment>
    <comment ref="C43" authorId="8" shapeId="0" xr:uid="{F7F2946C-2BA2-4F4C-B2F5-E2C5B74BCFAB}">
      <text>
        <t>[Threaded comment]
Your version of Excel allows you to read this threaded comment; however, any edits to it will get removed if the file is opened in a newer version of Excel. Learn more: https://go.microsoft.com/fwlink/?linkid=870924
Comment:
    Is there a project audit schedule being developed for the project?</t>
      </text>
    </comment>
    <comment ref="F47" authorId="9" shapeId="0" xr:uid="{5F9D9667-35E8-0B41-A3C2-F122093BD6B0}">
      <text>
        <t>[Threaded comment]
Your version of Excel allows you to read this threaded comment; however, any edits to it will get removed if the file is opened in a newer version of Excel. Learn more: https://go.microsoft.com/fwlink/?linkid=870924
Comment:
    Daily inspections in Annex I of the CEMP.</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tc={D9BB8634-7B5A-C24B-BD0D-BB9A9069066F}</author>
    <author>tc={4E61F602-C8B4-BC42-9BFD-88628775F661}</author>
    <author>tc={882A253B-834D-7640-BD19-09D2950D8F88}</author>
    <author>tc={46F50DBC-32D6-804D-9DD8-A41B3AB7B445}</author>
    <author>tc={91ABD5DC-9BD9-4C4D-BD4C-1902331DE2A8}</author>
  </authors>
  <commentList>
    <comment ref="E13" authorId="0" shapeId="0" xr:uid="{D9BB8634-7B5A-C24B-BD0D-BB9A9069066F}">
      <text>
        <t>[Threaded comment]
Your version of Excel allows you to read this threaded comment; however, any edits to it will get removed if the file is opened in a newer version of Excel. Learn more: https://go.microsoft.com/fwlink/?linkid=870924
Comment:
    EP Reg apply to this?</t>
      </text>
    </comment>
    <comment ref="E14" authorId="1" shapeId="0" xr:uid="{4E61F602-C8B4-BC42-9BFD-88628775F661}">
      <text>
        <t>[Threaded comment]
Your version of Excel allows you to read this threaded comment; however, any edits to it will get removed if the file is opened in a newer version of Excel. Learn more: https://go.microsoft.com/fwlink/?linkid=870924
Comment:
    EP Reg apply to this?</t>
      </text>
    </comment>
    <comment ref="E15" authorId="2" shapeId="0" xr:uid="{882A253B-834D-7640-BD19-09D2950D8F88}">
      <text>
        <t>[Threaded comment]
Your version of Excel allows you to read this threaded comment; however, any edits to it will get removed if the file is opened in a newer version of Excel. Learn more: https://go.microsoft.com/fwlink/?linkid=870924
Comment:
    EP Reg apply to this?</t>
      </text>
    </comment>
    <comment ref="E18" authorId="3" shapeId="0" xr:uid="{46F50DBC-32D6-804D-9DD8-A41B3AB7B445}">
      <text>
        <t>[Threaded comment]
Your version of Excel allows you to read this threaded comment; however, any edits to it will get removed if the file is opened in a newer version of Excel. Learn more: https://go.microsoft.com/fwlink/?linkid=870924
Comment:
    EP Reg apply to this?</t>
      </text>
    </comment>
    <comment ref="E19" authorId="4" shapeId="0" xr:uid="{91ABD5DC-9BD9-4C4D-BD4C-1902331DE2A8}">
      <text>
        <t>[Threaded comment]
Your version of Excel allows you to read this threaded comment; however, any edits to it will get removed if the file is opened in a newer version of Excel. Learn more: https://go.microsoft.com/fwlink/?linkid=870924
Comment:
    EP Reg apply to this?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tc={395C3EC1-911E-7A40-A282-6EC066EDB5CD}</author>
    <author>tc={4AA400A5-DECD-9B4C-887C-6A091A1E51CB}</author>
    <author>tc={35CE4039-48D5-C34B-9E45-30DCDE47C0D2}</author>
    <author>tc={9819D11B-539C-9B47-8D64-816EC2D92C20}</author>
  </authors>
  <commentList>
    <comment ref="E8" authorId="0" shapeId="0" xr:uid="{395C3EC1-911E-7A40-A282-6EC066EDB5CD}">
      <text>
        <t>[Threaded comment]
Your version of Excel allows you to read this threaded comment; however, any edits to it will get removed if the file is opened in a newer version of Excel. Learn more: https://go.microsoft.com/fwlink/?linkid=870924
Comment:
    Proposed control to document ADR without having to list them all within CEMP - also WI could be provided to Engineering/Construction teams to assist with planning and design requirements.</t>
      </text>
    </comment>
    <comment ref="E9" authorId="1" shapeId="0" xr:uid="{4AA400A5-DECD-9B4C-887C-6A091A1E51CB}">
      <text>
        <t>[Threaded comment]
Your version of Excel allows you to read this threaded comment; however, any edits to it will get removed if the file is opened in a newer version of Excel. Learn more: https://go.microsoft.com/fwlink/?linkid=870924
Comment:
    Proposed control to document ADR without having to list them all within CEMP - also WI could be provided to Engineering/Construction teams to assist with planning and design requirements.</t>
      </text>
    </comment>
    <comment ref="E11" authorId="2" shapeId="0" xr:uid="{35CE4039-48D5-C34B-9E45-30DCDE47C0D2}">
      <text>
        <t>[Threaded comment]
Your version of Excel allows you to read this threaded comment; however, any edits to it will get removed if the file is opened in a newer version of Excel. Learn more: https://go.microsoft.com/fwlink/?linkid=870924
Comment:
    Proposed control to document ADR without having to list them all within CEMP - also WI could be provided to Engineering/Construction teams to assist with planning and design requirements.</t>
      </text>
    </comment>
    <comment ref="E12" authorId="3" shapeId="0" xr:uid="{9819D11B-539C-9B47-8D64-816EC2D92C20}">
      <text>
        <t>[Threaded comment]
Your version of Excel allows you to read this threaded comment; however, any edits to it will get removed if the file is opened in a newer version of Excel. Learn more: https://go.microsoft.com/fwlink/?linkid=870924
Comment:
    Proposed control to document ADR without having to list them all within CEMP - also WI could be provided to Engineering/Construction teams to assist with planning and design requirements.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tc={FCDEF7C0-BE07-49B0-B564-8FF39CD22F33}</author>
    <author>tc={65E89008-D287-411A-B3FC-7498AC9E5546}</author>
  </authors>
  <commentList>
    <comment ref="L10" authorId="0" shapeId="0" xr:uid="{FCDEF7C0-BE07-49B0-B564-8FF39CD22F33}">
      <text>
        <t xml:space="preserve">[Threaded comment]
Your version of Excel allows you to read this threaded comment; however, any edits to it will get removed if the file is opened in a newer version of Excel. Learn more: https://go.microsoft.com/fwlink/?linkid=870924
Comment:
    (the fish specialist) Aquatic Biopassage Services attended the site on the 25th of September 2025 to review and make recommendations ( Evidence MEMO: Fish Passage issue at Ormeau rail facility) </t>
      </text>
    </comment>
    <comment ref="F11" authorId="1" shapeId="0" xr:uid="{65E89008-D287-411A-B3FC-7498AC9E5546}">
      <text>
        <t>[Threaded comment]
Your version of Excel allows you to read this threaded comment; however, any edits to it will get removed if the file is opened in a newer version of Excel. Learn more: https://go.microsoft.com/fwlink/?linkid=870924
Comment:
    N/A during extended dry periods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tc={869AE216-2E45-4C54-ADF1-00D883BBE048}</author>
    <author>tc={659DD2C9-5019-4E05-9692-821CF17A189B}</author>
  </authors>
  <commentList>
    <comment ref="L26" authorId="0" shapeId="0" xr:uid="{869AE216-2E45-4C54-ADF1-00D883BBE048}">
      <text>
        <t xml:space="preserve">[Threaded comment]
Your version of Excel allows you to read this threaded comment; however, any edits to it will get removed if the file is opened in a newer version of Excel. Learn more: https://go.microsoft.com/fwlink/?linkid=870924
Comment:
    (the fish specialist) Aquatic Biopassage Services attended the site on the 25th of September 2025 to review and make recommendations ( Evidence MEMO: Fish Passage issue at Ormeau rail facility) </t>
      </text>
    </comment>
    <comment ref="L41" authorId="1" shapeId="0" xr:uid="{659DD2C9-5019-4E05-9692-821CF17A189B}">
      <text>
        <t xml:space="preserve">[Threaded comment]
Your version of Excel allows you to read this threaded comment; however, any edits to it will get removed if the file is opened in a newer version of Excel. Learn more: https://go.microsoft.com/fwlink/?linkid=870924
Comment:
    (the fish specialist) Aquatic Biopassage Services attended the site on the 25th of September 2025 to review and make recommendations ( Evidence MEMO: Fish Passage issue at Ormeau rail facility)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Siobhan.Jennings</author>
    <author>tc={01961E94-EC14-A340-9700-C3458034639F}</author>
  </authors>
  <commentList>
    <comment ref="G5" authorId="0" shapeId="0" xr:uid="{8B68AB62-0F7A-6143-93FA-55BDDB05D0D8}">
      <text>
        <r>
          <rPr>
            <sz val="9"/>
            <color rgb="FF000000"/>
            <rFont val="Tahoma"/>
            <family val="2"/>
          </rPr>
          <t>Refer to Project /Site Consequence, Likelihood and Risk Rating (Zero Harm Risk Management DA-ZH-PR028 and Annex B – Downer Environment Incident Classification and Consequences Guide)</t>
        </r>
      </text>
    </comment>
    <comment ref="E6" authorId="1" shapeId="0" xr:uid="{01961E94-EC14-A340-9700-C3458034639F}">
      <text>
        <t>[Threaded comment]
Your version of Excel allows you to read this threaded comment; however, any edits to it will get removed if the file is opened in a newer version of Excel. Learn more: https://go.microsoft.com/fwlink/?linkid=870924
Comment:
    As outlined in the EMP and CEMP.</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Siobhan.Jennings</author>
    <author>tc={371DC62D-73A6-DA4E-9FEB-C771B02CFB63}</author>
    <author>tc={AE7A89D2-7095-1A40-9CD0-7B82762BA323}</author>
  </authors>
  <commentList>
    <comment ref="G5" authorId="0" shapeId="0" xr:uid="{DEF608D9-1AC4-144C-B839-D5D5A861CB0D}">
      <text>
        <r>
          <rPr>
            <sz val="9"/>
            <color indexed="81"/>
            <rFont val="Tahoma"/>
            <family val="2"/>
          </rPr>
          <t>Refer to Project /Site Consequence, Likelihood and Risk Rating (Zero Harm Risk Management DA-ZH-PR028 and Annex B – Downer Environment Incident Classification and Consequences Guide)</t>
        </r>
      </text>
    </comment>
    <comment ref="E6" authorId="1" shapeId="0" xr:uid="{371DC62D-73A6-DA4E-9FEB-C771B02CFB63}">
      <text>
        <t>[Threaded comment]
Your version of Excel allows you to read this threaded comment; however, any edits to it will get removed if the file is opened in a newer version of Excel. Learn more: https://go.microsoft.com/fwlink/?linkid=870924
Comment:
    Proposed control to document ADR without having to list them all within CEMP - also WI could be provided to Engineering/Construction teams to assist with planning and design requirements.</t>
      </text>
    </comment>
    <comment ref="G6" authorId="2" shapeId="0" xr:uid="{AE7A89D2-7095-1A40-9CD0-7B82762BA323}">
      <text>
        <t>[Threaded comment]
Your version of Excel allows you to read this threaded comment; however, any edits to it will get removed if the file is opened in a newer version of Excel. Learn more: https://go.microsoft.com/fwlink/?linkid=870924
Comment:
    Risks in this sheet consistent wth DG-ZH-FM028.1 Zero Harm Risk Register - Ormeau Site Facility (reviewed 11/10/2023)</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Siobhan.Jennings</author>
    <author>tc={6688AF51-E4DA-584B-AA50-D1D46F691EF2}</author>
    <author>tc={24E4BC34-84FA-4F4D-8DF3-68F06F237A9E}</author>
    <author>tc={E1032C41-F980-A640-B563-8B19B2C41132}</author>
  </authors>
  <commentList>
    <comment ref="G5" authorId="0" shapeId="0" xr:uid="{771D1224-696F-4F80-BF83-424866CFA7CF}">
      <text>
        <r>
          <rPr>
            <sz val="9"/>
            <color rgb="FF000000"/>
            <rFont val="Tahoma"/>
            <family val="2"/>
          </rPr>
          <t>Refer to Project /Site Consequence, Likelihood and Risk Rating (Zero Harm Risk Management DA-ZH-PR028 and Annex B – Downer Environment Incident Classification and Consequences Guide)</t>
        </r>
      </text>
    </comment>
    <comment ref="E13" authorId="1" shapeId="0" xr:uid="{6688AF51-E4DA-584B-AA50-D1D46F691EF2}">
      <text>
        <t>[Threaded comment]
Your version of Excel allows you to read this threaded comment; however, any edits to it will get removed if the file is opened in a newer version of Excel. Learn more: https://go.microsoft.com/fwlink/?linkid=870924
Comment:
    MD-15-315, MD-15-316 and MD-15-317 have not been provided to yet to include in this register.</t>
      </text>
    </comment>
    <comment ref="E19" authorId="2" shapeId="0" xr:uid="{24E4BC34-84FA-4F4D-8DF3-68F06F237A9E}">
      <text>
        <t>[Threaded comment]
Your version of Excel allows you to read this threaded comment; however, any edits to it will get removed if the file is opened in a newer version of Excel. Learn more: https://go.microsoft.com/fwlink/?linkid=870924
Comment:
    Address in the Sustainability Management Plan is an assumption - unsure if IS rating items are tracked elsewhere.</t>
      </text>
    </comment>
    <comment ref="C32" authorId="3" shapeId="0" xr:uid="{E1032C41-F980-A640-B563-8B19B2C41132}">
      <text>
        <t>[Threaded comment]
Your version of Excel allows you to read this threaded comment; however, any edits to it will get removed if the file is opened in a newer version of Excel. Learn more: https://go.microsoft.com/fwlink/?linkid=870924
Comment:
    General requirement in specification - underlined items most relevant to environmental requirements.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tc={B5EB4E1D-B6F4-5048-AC54-5C395C178CBD}</author>
    <author>tc={CDC89C9E-AE66-7442-8E69-8A66A3538B43}</author>
    <author>tc={8166185E-19DA-AF48-9FA4-DC1B80C57029}</author>
    <author>tc={A563BE9F-DE84-A743-87E9-C396807A5EC4}</author>
    <author>tc={2436638A-B9CA-5C4F-ABD3-CB5A90488FBC}</author>
  </authors>
  <commentList>
    <comment ref="B4" authorId="0" shapeId="0" xr:uid="{B5EB4E1D-B6F4-5048-AC54-5C395C178CBD}">
      <text>
        <t>[Threaded comment]
Your version of Excel allows you to read this threaded comment; however, any edits to it will get removed if the file is opened in a newer version of Excel. Learn more: https://go.microsoft.com/fwlink/?linkid=870924
Comment:
    CMP (B) Section 13.3 Reporting and Records</t>
      </text>
    </comment>
    <comment ref="C4" authorId="1" shapeId="0" xr:uid="{CDC89C9E-AE66-7442-8E69-8A66A3538B43}">
      <text>
        <t>[Threaded comment]
Your version of Excel allows you to read this threaded comment; however, any edits to it will get removed if the file is opened in a newer version of Excel. Learn more: https://go.microsoft.com/fwlink/?linkid=870924
Comment:
    CMP (B) Section 13.3 Reporting and Records</t>
      </text>
    </comment>
    <comment ref="D4" authorId="2" shapeId="0" xr:uid="{8166185E-19DA-AF48-9FA4-DC1B80C57029}">
      <text>
        <t>[Threaded comment]
Your version of Excel allows you to read this threaded comment; however, any edits to it will get removed if the file is opened in a newer version of Excel. Learn more: https://go.microsoft.com/fwlink/?linkid=870924
Comment:
    CMP (B) Section 13.1</t>
      </text>
    </comment>
    <comment ref="E4" authorId="3" shapeId="0" xr:uid="{A563BE9F-DE84-A743-87E9-C396807A5EC4}">
      <text>
        <t>[Threaded comment]
Your version of Excel allows you to read this threaded comment; however, any edits to it will get removed if the file is opened in a newer version of Excel. Learn more: https://go.microsoft.com/fwlink/?linkid=870924
Comment:
    EMP (D) Section 6.4 and 8.1
CEMP (B) Section 8.3</t>
      </text>
    </comment>
    <comment ref="F4" authorId="4" shapeId="0" xr:uid="{2436638A-B9CA-5C4F-ABD3-CB5A90488FBC}">
      <text>
        <t>[Threaded comment]
Your version of Excel allows you to read this threaded comment; however, any edits to it will get removed if the file is opened in a newer version of Excel. Learn more: https://go.microsoft.com/fwlink/?linkid=870924
Comment:
    CMP (B) Section 15 Close Out Management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Siobhan.Jennings</author>
    <author>tc={04D099BD-6C89-7C40-9E47-455EF5C8F58E}</author>
  </authors>
  <commentList>
    <comment ref="G5" authorId="0" shapeId="0" xr:uid="{927F34B1-A62C-4B4F-A313-6E9A838A30CA}">
      <text>
        <r>
          <rPr>
            <sz val="9"/>
            <color indexed="81"/>
            <rFont val="Tahoma"/>
            <family val="2"/>
          </rPr>
          <t>Refer to Project /Site Consequence, Likelihood and Risk Rating (Zero Harm Risk Management DA-ZH-PR028 and Annex B – Downer Environment Incident Classification and Consequences Guide)</t>
        </r>
      </text>
    </comment>
    <comment ref="C15" authorId="1" shapeId="0" xr:uid="{04D099BD-6C89-7C40-9E47-455EF5C8F58E}">
      <text>
        <t>[Threaded comment]
Your version of Excel allows you to read this threaded comment; however, any edits to it will get removed if the file is opened in a newer version of Excel. Learn more: https://go.microsoft.com/fwlink/?linkid=870924
Comment:
    Has ecological assessment identified potential breeding places (EVNT) requiring High Risk SMP</t>
      </text>
    </comment>
  </commentList>
</comments>
</file>

<file path=xl/sharedStrings.xml><?xml version="1.0" encoding="utf-8"?>
<sst xmlns="http://schemas.openxmlformats.org/spreadsheetml/2006/main" count="2277" uniqueCount="881">
  <si>
    <t>Instructions</t>
  </si>
  <si>
    <t>General File Format</t>
  </si>
  <si>
    <t>Cell Color Key:</t>
  </si>
  <si>
    <t>Data entry cells:</t>
  </si>
  <si>
    <t>Data entry is required in these cells, where it exists.</t>
  </si>
  <si>
    <t>Drop-down selection:</t>
  </si>
  <si>
    <t>Select the appropriate value from the drop-down list.</t>
  </si>
  <si>
    <t>Insert link cells:</t>
  </si>
  <si>
    <t>Copy in link to document reference saved in Project SharePoint</t>
  </si>
  <si>
    <t>Compliance Register</t>
  </si>
  <si>
    <t>The Compliance Register allows project team member to monitor environmental compliance at all stages of the project. The Compliance Register is part of a Projects Environmental Management Plan.</t>
  </si>
  <si>
    <t>Using the Environmental Compliance Obligations Register:</t>
  </si>
  <si>
    <t>-</t>
  </si>
  <si>
    <t xml:space="preserve">Enter information for each row, inserting additional rows as required. </t>
  </si>
  <si>
    <t>The columns "Risk rating" and "Compliance status" have drop-down lists.</t>
  </si>
  <si>
    <t>If printing, check page breaks and adjust as required.</t>
  </si>
  <si>
    <t>Please refer to DTI-RM-ST001 Risk and Opportunity Management Standard for appropriate Risk Ranking</t>
  </si>
  <si>
    <t>Risk</t>
  </si>
  <si>
    <t>A</t>
  </si>
  <si>
    <t>B</t>
  </si>
  <si>
    <t>C</t>
  </si>
  <si>
    <t>D</t>
  </si>
  <si>
    <t>Requirement Details</t>
  </si>
  <si>
    <t>Priority Assessment</t>
  </si>
  <si>
    <t>Compliance Status</t>
  </si>
  <si>
    <t>Project Location / Activity</t>
  </si>
  <si>
    <t>Project Stage</t>
  </si>
  <si>
    <t>Compliance Requirement</t>
  </si>
  <si>
    <t>Reference</t>
  </si>
  <si>
    <t>Compliance Controls</t>
  </si>
  <si>
    <t>Responsibility</t>
  </si>
  <si>
    <t>Risk Rating</t>
  </si>
  <si>
    <t>Stakeholder Review/ Approval/ Submission</t>
  </si>
  <si>
    <t>Due Date</t>
  </si>
  <si>
    <t>Compliance Notes</t>
  </si>
  <si>
    <t>Supporting Documents</t>
  </si>
  <si>
    <t>Compliance Summary</t>
  </si>
  <si>
    <t>Project Details</t>
  </si>
  <si>
    <t>Project Name:</t>
  </si>
  <si>
    <t>QTMP - Ormeau Maintenance Facility</t>
  </si>
  <si>
    <t>Project Location:</t>
  </si>
  <si>
    <t>Ormeau</t>
  </si>
  <si>
    <t>Client:</t>
  </si>
  <si>
    <t>Downer (RTS)</t>
  </si>
  <si>
    <t>Summary of Project Works:</t>
  </si>
  <si>
    <t>Project Manager</t>
  </si>
  <si>
    <t>Sean Nicolls</t>
  </si>
  <si>
    <t>Date Updated:</t>
  </si>
  <si>
    <t>REV 2 REVIEW</t>
  </si>
  <si>
    <t>Compliant</t>
  </si>
  <si>
    <t>Not Compliant</t>
  </si>
  <si>
    <t>Completed</t>
  </si>
  <si>
    <t>In Progress</t>
  </si>
  <si>
    <t>Overdue</t>
  </si>
  <si>
    <t>Not Started</t>
  </si>
  <si>
    <t>Compliance Overview</t>
  </si>
  <si>
    <t>Environmental Monitoring and Reporting Register</t>
  </si>
  <si>
    <t>Management Plan/ Subplan</t>
  </si>
  <si>
    <t>Requirement</t>
  </si>
  <si>
    <t>Source/ Reference</t>
  </si>
  <si>
    <t>Compliance Action</t>
  </si>
  <si>
    <t>Timing / Frequency</t>
  </si>
  <si>
    <t xml:space="preserve">Responsibility </t>
  </si>
  <si>
    <t>Compliance last reviewed</t>
  </si>
  <si>
    <t>Evidence</t>
  </si>
  <si>
    <t>1. Compliance Management Plan</t>
  </si>
  <si>
    <t>During construction</t>
  </si>
  <si>
    <r>
      <rPr>
        <b/>
        <sz val="11"/>
        <color rgb="FF000000"/>
        <rFont val="Arial"/>
      </rPr>
      <t xml:space="preserve">Groundwater (ambient):
</t>
    </r>
    <r>
      <rPr>
        <sz val="11"/>
        <color rgb="FF000000"/>
        <rFont val="Arial"/>
      </rPr>
      <t xml:space="preserve">PFAS (28-30 Analyte ultra-trace)
Groundwater (ambient) locations:
- Six (6) Monitoring wells MW1 – MW6
- Four (4) Geotechnical wells GEO_MW01 – GEO_MW04
If monitoring wells are required to be decommissioned during the construction works, the Builder is responsible for the installation and development of replacement wells under the supervision of the Project Environmental Manager. </t>
    </r>
  </si>
  <si>
    <t>CMP (B) Section 9.2 Monitoring Program, Table 21, Pg 62</t>
  </si>
  <si>
    <t>Water quality monitoring (groundwater / surface water)</t>
  </si>
  <si>
    <t>Quarterly</t>
  </si>
  <si>
    <t>Environmental and Sustainability Team</t>
  </si>
  <si>
    <r>
      <rPr>
        <b/>
        <sz val="11"/>
        <color rgb="FF000000"/>
        <rFont val="Arial"/>
      </rPr>
      <t xml:space="preserve">Surface water (ambient): 
</t>
    </r>
    <r>
      <rPr>
        <sz val="11"/>
        <color rgb="FF000000"/>
        <rFont val="Arial"/>
      </rPr>
      <t xml:space="preserve">- PFAS (28-30 Analyte ultra-trace)
Surface water (ambient) locations:
- SW01 – SW12 
- Monitoring locations upstream of the site may become available and opportunistic sampling may be undertaken to further inform surface water conditions surrounding the site. </t>
    </r>
  </si>
  <si>
    <t>Monthly</t>
  </si>
  <si>
    <t>Post construction</t>
  </si>
  <si>
    <t>At “Certificate of Ormeau Facility Completion” or when the Compliance Matters have ceased and the CMP is no longer required, a close out report will be provided to TMR. This report will be produced by the Builder for approval by the Contractor.  
Information to be included in the close out report will include:
- Maps of the locations of soil reused on the project
- Records taken by the project Environmental Manager for soil reuse
- Quantity of water treated and reused on the project and where it was reused
- Analytical data to demonstrate that material was reused correctly and in accordance with this CMP
- Photographic evidence / logs of site works
- Geospatial coordinates in electronic format of any soil samples collected including soil testing data</t>
  </si>
  <si>
    <t>CMP (B) Section 10 Close Out Management, Pg 68</t>
  </si>
  <si>
    <t>CMP Close Out Report</t>
  </si>
  <si>
    <t xml:space="preserve">A PFAS Monthly Compliance Report will be completed by the Builder and provided to Downer and TMR which will cover aspects relating to the PFAS reported onsite. The report will include information on compliance with this CMP and will detail the following information:
- Details of the inspections and audits undertaken by the Builder Environmental Manager during the month and the outcome of the inspection and audit (and whether any compliance issues were raised).
- Any documentation that was prepared or updated during the month including relevant construction methodologies.
- Construction activities undertaken in relation to the construction program and upcoming construction activities that may interact with low level concentrations of PFAS.
- Details of any environmental incidents pertaining to Compliance Matters.
- Details of any non‐conformance reports pertaining to Compliance Matters, including any corrective and preventative measures taken and whether the compliance issue has been adequately resolved.
- Material tracking information including quantities and locations of soil reused within the construction of the site and quantities of water reused or released within the site.
- Community complaints or feedback received pertaining to Compliance Matters.
- Results of monitoring data and discussion on compliance. </t>
  </si>
  <si>
    <t>CMP (B) Section 9.3 Reporting and Records, Pg64</t>
  </si>
  <si>
    <t xml:space="preserve">PFAS Monthly Compliance Report </t>
  </si>
  <si>
    <t>Monthly - due by the 5th day of each month</t>
  </si>
  <si>
    <t xml:space="preserve">Monitoring data will be compiled by the Project Environmental Manager and will be available to TMR on a monthly basis.  </t>
  </si>
  <si>
    <t>Reporting records to be kept by the Builder include:
- Weekly Environmental Inspection Reports
- Maps and records of soil reuse in permanent works
- Monthly records of water volumes reused or released on the site
- PFAS waste tracking register
- Progressive erosion and sediment control plans
- Site Supervisor daily site diary</t>
  </si>
  <si>
    <r>
      <t xml:space="preserve">The compliance matters are managed by Downer and the Builder will be responsible to ensure that compliance matters are demonstrated and met during the construction of the QTMP project. This will be demonstrated by completing the following:
- Daily checks will be undertaken by the site supervisor and relevant requirements where applicable will be included in the foreman’s daily diary. 
- Weekly environmental inspections of the site which will include specific measures to address compliance related matters and will be assessed for compliance each week. 
- A monthly audit focusing on the technical compliance aspects of this CMP will be conducted by the Project Environmental Manager </t>
    </r>
    <r>
      <rPr>
        <i/>
        <sz val="11"/>
        <color rgb="FF000000"/>
        <rFont val="Arial"/>
      </rPr>
      <t xml:space="preserve">(using CMP Monthly Audit Report template).
</t>
    </r>
    <r>
      <rPr>
        <sz val="11"/>
        <color rgb="FF000000"/>
        <rFont val="Arial"/>
      </rPr>
      <t>- Regular audits and inspections undertaken by TMR’s representative as required. 
If during these inspections and audits that a component of the CMP has not been complied with, this matter must be addressed in accordance with Section 13.4 Non-Conformance and Non-Compliance.</t>
    </r>
  </si>
  <si>
    <t>CMP (B) Section 9.1 Inspections and Audits, Pg 61</t>
  </si>
  <si>
    <t>Weekly Environmental Inspection Checklist
CMP Monthly Audit Report</t>
  </si>
  <si>
    <t xml:space="preserve">Weekly
Monthly </t>
  </si>
  <si>
    <t xml:space="preserve">Release water quality as per project requirements outlined in the CMP:
- PFAS (28-30 Analyte ultra-trace)
Representative water sampling per container or waterbody or minimum of 1 sample per 100,000 L prior to release event. </t>
  </si>
  <si>
    <t xml:space="preserve">Included in Water Release Permit </t>
  </si>
  <si>
    <t>Ad hoc - prior to release</t>
  </si>
  <si>
    <t>Acid sulfate soil</t>
  </si>
  <si>
    <r>
      <t xml:space="preserve">Disposal of Wastewater - action criteria for disposal (stormwater)  
- pH (field test) - ph 6.5 to 7.5
</t>
    </r>
    <r>
      <rPr>
        <b/>
        <sz val="11"/>
        <rFont val="Arial"/>
        <family val="2"/>
      </rPr>
      <t>- TSS (lab analysis) - less or equal to 50 mg / L or an equivalent turbidity measure (in NTU) where a statistical evaluation has provided a correlation between TSS and turbidity</t>
    </r>
    <r>
      <rPr>
        <sz val="11"/>
        <rFont val="Arial"/>
        <family val="2"/>
      </rPr>
      <t xml:space="preserve">
- Oil and grease - no visual signs of oil or grease present</t>
    </r>
  </si>
  <si>
    <t>CEMP (B) Annex C Section 5.10 Treatment of Water</t>
  </si>
  <si>
    <r>
      <rPr>
        <sz val="11"/>
        <rFont val="Arial"/>
        <family val="2"/>
      </rPr>
      <t>Water quality monitoring (groundwater / surface water) of water impacted by ASS</t>
    </r>
    <r>
      <rPr>
        <sz val="11"/>
        <color rgb="FFFF0000"/>
        <rFont val="Arial"/>
        <family val="2"/>
      </rPr>
      <t xml:space="preserve">
</t>
    </r>
    <r>
      <rPr>
        <i/>
        <sz val="11"/>
        <rFont val="Arial"/>
        <family val="2"/>
      </rPr>
      <t xml:space="preserve">Included in Water Release Permit </t>
    </r>
  </si>
  <si>
    <t>Monthly during standard storage / operations
Ad hoc:
- within 24 hours prior to any scheduled discharge
- within five days following the cessation of any unplanned discharge event (i.e.. heavy rainfall)</t>
  </si>
  <si>
    <r>
      <t xml:space="preserve">Step 3 – Visual assessment of excavated soils
The third step of the ex-situ management strategy involves the visual assessment of excavated soils involving the following process: 
- All excavated soils will be visually assessed for material type, colour and consistency
- Soil types will need to be assessed based on the confirmatory results of the initial assessment
</t>
    </r>
    <r>
      <rPr>
        <sz val="11"/>
        <color rgb="FFFF0000"/>
        <rFont val="Arial"/>
        <family val="2"/>
      </rPr>
      <t>- An environmental consultant should visually assess the material excavated and should provide guidance to the contractors as to which material will require transport to the designated treatment pad</t>
    </r>
    <r>
      <rPr>
        <sz val="11"/>
        <color theme="1"/>
        <rFont val="Arial"/>
        <family val="2"/>
      </rPr>
      <t xml:space="preserve">
- A record of material tracking is to be maintained </t>
    </r>
  </si>
  <si>
    <t>CEMP (B) Annex C Section 5.9.2 Treatment Process for Soils</t>
  </si>
  <si>
    <t>Soil Movement Register</t>
  </si>
  <si>
    <t>Ad hoc - during excavation of soils</t>
  </si>
  <si>
    <r>
      <t xml:space="preserve">Environmental consultant / Suitably qualified person
</t>
    </r>
    <r>
      <rPr>
        <sz val="11"/>
        <rFont val="Arial"/>
        <family val="2"/>
      </rPr>
      <t>Environmental and Sustainability Team</t>
    </r>
  </si>
  <si>
    <t>All soil movement records must be maintained, including the volume and source of treated material moved and the destination of treated material. All material movements within the site boundaries should be surveyed by a licenced surveyor.  
Treated material is not to be removed from the site unless the waste has been classified in accordance with the Environmental Protection Regulation (2019).
Placement of untreated material below water table - depending on the timing of the works, stockpiled ASS could be returned to the excavations provided the following management procedures are followed: 
- Visual assessment of temporary stockpiling and pH results do not indicate evidence of oxidation.
- Excavated ASS can be returned below the water table within the excavation within 48-hour period since the initial excavation.</t>
  </si>
  <si>
    <t>CEMP (B) Annex C Section 5.11 Beneficial Re-Use / Off-Site Disposal of ASS</t>
  </si>
  <si>
    <t>Ad hoc - during excavation / movement of soils</t>
  </si>
  <si>
    <r>
      <t xml:space="preserve">Disposal of Wastewater - action criteria for disposal (stormwater)  
- Heavy metals (lab analysis) - ANZG 2018 Trigger Guidelines for Freshwater Ecosystems (95% Species Level Protection) – if no licence conditions are available.
</t>
    </r>
    <r>
      <rPr>
        <i/>
        <sz val="11"/>
        <rFont val="Arial"/>
        <family val="2"/>
      </rPr>
      <t>Heavy metals include arsenic, cadmium, chromium, cobalt, copper, lead, manganese, mercury, nickel and zinc</t>
    </r>
  </si>
  <si>
    <t>Ad hoc - one week before disposal 
If exceedances are identified, sampling is to continue a weekly basis prior to off-site disposal.</t>
  </si>
  <si>
    <t xml:space="preserve">Disposal of Wastewater - action criteria for disposal (stormwater)  
- Oil and grease (lab analysis) - 10,000 microgram / L for total oil and grease
- Total and soluble iron (lab analysis) - less than 0.3 mg / L filtered iron
</t>
  </si>
  <si>
    <t>Weekly check sampling during discharge period
Ad hoc:
- as deemed necessary based on the visual inspection
- immediately before disposal</t>
  </si>
  <si>
    <t xml:space="preserve">Disposal of Wastewater - action criteria for disposal (stormwater)  
- Total and soluble iron - no visual signs of ferrous iron staining or settlement
</t>
  </si>
  <si>
    <t>Daily during the discharge event</t>
  </si>
  <si>
    <r>
      <t xml:space="preserve">Sampling and Analysis of Water
All water stored in the tank or basin should be sampled and analysed by a suitably qualified environmental consultant.
</t>
    </r>
    <r>
      <rPr>
        <b/>
        <sz val="11"/>
        <rFont val="Arial"/>
        <family val="2"/>
      </rPr>
      <t xml:space="preserve">Samples should be dispatched to a NATA-accredited laboratory for analysis. </t>
    </r>
    <r>
      <rPr>
        <sz val="11"/>
        <rFont val="Arial"/>
        <family val="2"/>
      </rPr>
      <t>The analysis required will depend on the proposed disposal option and may include the following:
- pH
- Electrical Conductivity (EC)
- Heavy Metals (arsenic, cadmium, chromium, copper, lead, mercury, nickel, zinc, iron, and manganese)
- Alkalinity
- Total Suspended Solids (TSS)
- Total Organic Carbon (TOC) and Biochemical Oxygen Demand (BOD)
In addition, if water is to be disposed of to a nearby water body, samples need to be analysed such that water quality guidelines are met.</t>
    </r>
  </si>
  <si>
    <t>Prior to disposal or release</t>
  </si>
  <si>
    <r>
      <rPr>
        <b/>
        <sz val="11"/>
        <color theme="1"/>
        <rFont val="Arial"/>
        <family val="2"/>
      </rPr>
      <t>Treatment of Soil - Wastewater Management</t>
    </r>
    <r>
      <rPr>
        <sz val="11"/>
        <color theme="1"/>
        <rFont val="Arial"/>
        <family val="2"/>
      </rPr>
      <t xml:space="preserve">
Performance criteria and verification testing
The following performance criteria must be met for soils that have been treated using neutralisation:
- </t>
    </r>
    <r>
      <rPr>
        <sz val="11"/>
        <color rgb="FFFF0000"/>
        <rFont val="Arial"/>
        <family val="2"/>
      </rPr>
      <t>A suitably qualified person</t>
    </r>
    <r>
      <rPr>
        <sz val="11"/>
        <color theme="1"/>
        <rFont val="Arial"/>
        <family val="2"/>
      </rPr>
      <t xml:space="preserve"> will be present on-site during the treatment of all acid sulfate soils to visually confirm the required rate and quantity of agricultural lime (or equivalent) has been mixed sufficiently with the processed materials.
- Treatment records must be maintained and include the day, time and amount of neutralising reagent used per batch / or layer.
- A certificate or verification letter will be prepared confirming the ASS has been adequately neutralised for each batch to be disposed of off-site or re-used on-site and should include the following:
     - Stockpile identification number
     - Reference to relevant report or chemical assessment
     - Location of the treatment area
     - A soil description
     - The results of the validation testing
     - Liming requirements have been met.
- If soil materials are deemed to be visually inconsistent with the original sampling and associated ASS assessment, the following field screening and criteria will be implemented:
     - Sampling is to be undertaken within 24-48 hours following liming of the ASS material.
     - Composite sampling is preferred rather than a single grab sample.
     - Post-neutralisation, the field pH is to be greater than 6.5, and the pHFOX is to be greater than or equal to 5.5.
     - Excess neutralising agents should stay within the treated soil until all acid generation reactions are complete and the soil has no further capacity to generate acidity.
     - Collect SCR validation samples. SCR validation sample results should show net acidity equal (including ANC) equal to or below zero.
     - Further liming is required if the ASS soils did not achieve the verification criteria (refer to Step 5).
     - The minimum soil sampling densities outlined in Table 5 must be used to verify post-neutralisation effectiveness.
     - If the stockpile has been over-limed, additional untreated soil exhibiting the same or similar characteristics will be mixed with the material to correct this, followed by further verification testing.
     - Once the materials have been verified as being neutralised, they will be transferred to the “Treated” Area for beneficial re-use or off-site disposal.</t>
    </r>
  </si>
  <si>
    <t>Ad hoc - during treatment of soils</t>
  </si>
  <si>
    <r>
      <rPr>
        <b/>
        <sz val="11"/>
        <color theme="1"/>
        <rFont val="Arial"/>
        <family val="2"/>
      </rPr>
      <t xml:space="preserve">Treatment of Water - Wastewater Management
</t>
    </r>
    <r>
      <rPr>
        <sz val="11"/>
        <color theme="1"/>
        <rFont val="Arial"/>
        <family val="2"/>
      </rPr>
      <t>All water is to be removed from the site must be placed in an acid-resistant holding tank or basin.
Records must be maintained and at a minimum include the location of the holding tank or basin and the volume of liquid placed into the tank or basin.</t>
    </r>
  </si>
  <si>
    <t>Water Release Permit Register</t>
  </si>
  <si>
    <t>Ad hoc</t>
  </si>
  <si>
    <t xml:space="preserve">A register should be maintained to record the amount of lime delivered to the site and to ensure appropriate quantities of lime have been applied. The register shall list the quantities of lime delivered to the site, verified by delivery dockets, and where the lime has been used. The lime usage shall quantify areas limed, soil volumes treated, liming rates and quantities of lime used. The lime register shall be a verifiable performance indicator and extracts may be used in a final validation report. </t>
  </si>
  <si>
    <t>Visual observations or olfactory indicators of acid sulfate soils identified during the construction phase</t>
  </si>
  <si>
    <t>CEMP (B) Annex C Section 5.8 Soil Mitigation and Management Strategies</t>
  </si>
  <si>
    <t>Weekly Environmental Inspection Checklist</t>
  </si>
  <si>
    <t>Weekly</t>
  </si>
  <si>
    <t>Air quality and dust</t>
  </si>
  <si>
    <t>A complaints register will be established that records the frequency of occurrence, intensity, duration, offensiveness and location of public complaints regarding dust and odour. An investigation into the source and implementation of a mitigation strategy is required following the receipt of a complaint.</t>
  </si>
  <si>
    <t>CEMP (B) Annex D Section 7.7 Complaints</t>
  </si>
  <si>
    <t>Complaints recorded in INX as incident</t>
  </si>
  <si>
    <t xml:space="preserve">Regular dust observations of active excavation and stockpiling areas will be undertaken to ensure visible dust is not moving offsite. 
Records of observations should be compiled to enable the demonstration that dust is being managed in an ongoing manner. 
Records should include (as a minimum) the following:
- Observation date and time.
- Area being inspected.
- Level of dust being generated.
- Meteorological conditions when observation occurred.
- Any mitigation measures undertaken.
Regular inspections (i.e., weekly) should be carried out on all plant equipment by their operators to ensure that emission reduction technology is in good condition and working effectively. </t>
  </si>
  <si>
    <t>CEMP (B) Annex D Section 7.5 Air Quality Mitigation Measures</t>
  </si>
  <si>
    <t xml:space="preserve">Calibrated air quality samplers suitable for monitoring TSP, PM10 and dust deposition, in locations around the site determined by suitably qualified persons. </t>
  </si>
  <si>
    <r>
      <t xml:space="preserve">Air quality consultant / Suitably qualified persons
</t>
    </r>
    <r>
      <rPr>
        <sz val="11"/>
        <rFont val="Arial"/>
        <family val="2"/>
      </rPr>
      <t>Environmental and Sustainability Team</t>
    </r>
  </si>
  <si>
    <t>Biosecurity</t>
  </si>
  <si>
    <t>The following records will be maintained on site to assist with reporting requirements: 
- Incoming materials certification stating free from pests, weeds and fire ants.
- Vehicle weed / seed certificates prior to entering site (subject to requirements).
- Records of disposal of biosecurity waste.</t>
  </si>
  <si>
    <t>CEMP (B) Annex E Section 7.7 Reporting and Audits</t>
  </si>
  <si>
    <t>Hygiene Register
Waste Disposal Register</t>
  </si>
  <si>
    <t>Pre construction</t>
  </si>
  <si>
    <t xml:space="preserve">Prior to the development of the site, a comprehensive site assessment will be conducted by a suitably qualified person to identify potential fire ant habitats and nests on site. Any identified nests or signs of fire ant activity will be immediately reported and dealt with by a licensed pest control specialist. </t>
  </si>
  <si>
    <t>CEMP (B) Annex E Section 7.5 Biosecurity Mitigation Measures</t>
  </si>
  <si>
    <t>Pre-construction assessment</t>
  </si>
  <si>
    <r>
      <rPr>
        <sz val="11"/>
        <color rgb="FFFF0000"/>
        <rFont val="Arial"/>
        <family val="2"/>
      </rPr>
      <t>Suitably qualified persons</t>
    </r>
    <r>
      <rPr>
        <sz val="11"/>
        <color theme="1"/>
        <rFont val="Arial"/>
        <family val="2"/>
      </rPr>
      <t xml:space="preserve">
Environmental and Sustainability Team</t>
    </r>
  </si>
  <si>
    <t xml:space="preserve">As part of the GBO, regular site inspections could be conducted by a trained person or licensed pest removalist to document any new fire ant infestations or signs so that they can be appropriately managed and reported. It is critical that all new fire ant infestations on site be dealt with promptly to further limit the spread. </t>
  </si>
  <si>
    <t>Erosion and sediment control</t>
  </si>
  <si>
    <t xml:space="preserve">Where contaminated soil is to remain on Site, it must remain in the railway corridor and be capped to minimise impact to the surrounding environment. Permanent and temporary erosion controls are to be utilised to ensure the stability of the capping material. 
All soil movements shall be tracked, and details recorded including, at a minimum, the source location, volume, material type and placement location. </t>
  </si>
  <si>
    <t>CEMP (B) Annex M Section 6.5 Mitigation Measure</t>
  </si>
  <si>
    <t xml:space="preserve">Ad hoc
Monthly as part of reporting to TMR  </t>
  </si>
  <si>
    <t xml:space="preserve">If spoil is removed from the lot on plan where it was excavated a suitably qualified person to undertake the sampling regime in accordance with the processes outlined in the NSW EPA Sampling Design Part 1 Application and Part 2 Interpretation. Testing for asbestos in the soil must be included. </t>
  </si>
  <si>
    <t>Ad hoc - when spoil removed from lot on plan</t>
  </si>
  <si>
    <t>Suitably qualified persons</t>
  </si>
  <si>
    <t>In the event Potential Acid Sulphate Soils (PASS) are identified, the location is to be recorded and reported to the Environmental Advisor.</t>
  </si>
  <si>
    <r>
      <t xml:space="preserve">Inspection of ESC controls should form part of the daily site inspection and recorded in the Superintendents daily diary. 
Reporting of the integrity of the ESC controls and management in line with best practise and ISO14001 shall be conducted on weekly basis as part of the Weekly Environmental and Sustainability Inspection </t>
    </r>
    <r>
      <rPr>
        <sz val="11"/>
        <color rgb="FFFF0000"/>
        <rFont val="Arial"/>
        <family val="2"/>
      </rPr>
      <t>(WLU-ZH-FM116.2 Environment &amp; Sustainability Inspection Checklist)</t>
    </r>
    <r>
      <rPr>
        <sz val="11"/>
        <color theme="1"/>
        <rFont val="Arial"/>
        <family val="2"/>
      </rPr>
      <t xml:space="preserve">, as active works are being undertaken. </t>
    </r>
  </si>
  <si>
    <t>CEMP (B) Annex M Section 6.7 Reporting</t>
  </si>
  <si>
    <r>
      <t xml:space="preserve">Daily site inspection checklist (to be developed and created in Lucidity) OR
Documented daily in site diaries
</t>
    </r>
    <r>
      <rPr>
        <sz val="11"/>
        <rFont val="Arial"/>
        <family val="2"/>
      </rPr>
      <t>Weekly Environmental Inspection Checklist</t>
    </r>
  </si>
  <si>
    <t>Daily
Weekly</t>
  </si>
  <si>
    <t>Construction Manager
Environmental and Sustainability Team</t>
  </si>
  <si>
    <t>Flora and fauna</t>
  </si>
  <si>
    <t xml:space="preserve">Post Construction Monitoring
- Implemented to assess the effectiveness of the safeguards and mitigation measures, identify any unexpected or inadvertent impact and identify recommended revisions to support the protection of native flora and fauna 
- The monitoring required for this project should be conducted by a suitable qualified ecologist for the surveys, and the Environment and Sustainability Manager for all other monitoring requirements. </t>
  </si>
  <si>
    <t>CEMP (B) Annex G Section 9.5 Post Construction Monitoring</t>
  </si>
  <si>
    <t>Post-construction survey (ecological)</t>
  </si>
  <si>
    <t>Ecologist
Environmental and Sustainability Team</t>
  </si>
  <si>
    <t>Pre and during construction</t>
  </si>
  <si>
    <t>Pre-clearing Surveys
- Capture and / or remove and relocate fauna that have the potential to be disturbed, injured or killed as a result of site clearing works
- Inform clearing contractors of any changes to the clearing methodology if fauna is identified as being present
- An approved Fauna Spotter Catcher must assess the site no more than two weeks prior to clearing works commencing.
- Identify suitable offsite relocation options for captured fauna in consultation with the community and stakeholders.</t>
  </si>
  <si>
    <t>CEMP (B) Annex G Section 9.2 Pre-clearing Surveys</t>
  </si>
  <si>
    <t>Pre-clearance survey by Fauna Spotter-Catcher</t>
  </si>
  <si>
    <t>Prior to clearing works commencing - no more than two weeks prior to clearing works commencing</t>
  </si>
  <si>
    <t>Fauna Spotter-Catcher</t>
  </si>
  <si>
    <t>Pre-construction Ecological Surveys 
- Identification and tagging of hollow bearing trees and all other fauna containing habitat trees
- Inspect all culvers and other structures onsite that are to be demolished or removed for the presence of native fauna
- Mapping and identification of environmental and noxious weeds.</t>
  </si>
  <si>
    <t>CEMP (B) Annex G Section 9.1 Pre-construction Ecological Surveys</t>
  </si>
  <si>
    <t>Pre-construction survey (ecological)</t>
  </si>
  <si>
    <t>Prior to construction works commencing</t>
  </si>
  <si>
    <t>Ecologist / Fauna Spotter-Catcher / Environmental and Sustainability Team (if familiar with weed identification)</t>
  </si>
  <si>
    <t>Revegetation Monitoring
- Revegetation monitoring should be conducted quarterly after revegetation commences to ensure that the revegetation strategy is working as intended, and to determine if additional measures need to be undertaken to support the native flora and fauna.</t>
  </si>
  <si>
    <t>CEMP (B) Annex G Section 9.4 Revegetation Monitoring</t>
  </si>
  <si>
    <t xml:space="preserve">Weekly Environmental Inspection Checklist - document revegetation monitoring (once commenced) at least quarterly </t>
  </si>
  <si>
    <t>Quarterly after revegetation commences</t>
  </si>
  <si>
    <t>No-go Zone Monitoring
- Ongoing monitoring of ‘no-go’ zones and other retained vegetation will be conducted weekly by the Environment and Sustainability Manager.</t>
  </si>
  <si>
    <t>CEMP (B) Annex G Section 9.3 No-go Zone Monitoring</t>
  </si>
  <si>
    <t xml:space="preserve">Reports on the implementation of this Programme would include the following:
- The results of all environmental monitoring and inspections, including adequacy of site-specific environmental safeguards and management measures
- Any complaints or non-conformances with licenses / criteria, and includes any responses provided or actions undertaken in response to the complaint or non-conformance.
- Any remediation changes or actions to management or mitigation measures. </t>
  </si>
  <si>
    <t>CEMP (B) Annex G Section 11 Auditing and Reporting</t>
  </si>
  <si>
    <t>General</t>
  </si>
  <si>
    <t>The review of this Plan undertaken typically annually (as a minimum), as determined by the project’s QTMP-MNT-DTI-QM-PLN-000002 - Quality Management Plan or whenever the plan, risk, and/ or activities materially change from the baseline scope/ content.</t>
  </si>
  <si>
    <t>EMP (D) Section 14.1 Review
CEMP (B) Section 14.1 Review</t>
  </si>
  <si>
    <t>Annual review of EMP and CEMP</t>
  </si>
  <si>
    <t>Annual</t>
  </si>
  <si>
    <t>Review of environmental objectives and targets</t>
  </si>
  <si>
    <t>ISO 14001:2015</t>
  </si>
  <si>
    <t>Regular review of project environmental objectives and targets</t>
  </si>
  <si>
    <t>Quarterly / Six monthly?</t>
  </si>
  <si>
    <t>Review of performance management trends including:
- incident types and severity;
- environmental observations, non-compliances and complaints;
- inspections (environmental and critical risk) undertaken, actions raised and closed out;
- environmental and sustainability initiatives identified and implemented.</t>
  </si>
  <si>
    <t>Regular review of environmental performance statistics</t>
  </si>
  <si>
    <t>Project audit schedule which includes environment and sustainability aspects / environmental management programmes</t>
  </si>
  <si>
    <t>Internal audit of a single / few Environmental Management Programmes each quarter</t>
  </si>
  <si>
    <t xml:space="preserve">Compliance tracking is undertaken on a continual basis during execution using DTI-ZH-TP002.1 Environmental Compliance Obligations Register (the Compliance Register).  The Compliance Register will:
- ensure all relevant authorisations, permits, approvals, contract requirements, and/or specific requirements are addressed.
- make the compliance status of all conditions available at any time.
The Compliance Register will be used for: 
- tracking implementation and compliance with the requirements
- auditing compliance
- reporting status of approval conditions.
The updated Compliance Register will be sent to the Group Manager Environment and Sustainability monthly. </t>
  </si>
  <si>
    <t>EMP (D) Section 6.5 Compliance Tracking</t>
  </si>
  <si>
    <t>Monthly compliance review sent to Group Manager Environment and Sustainability</t>
  </si>
  <si>
    <t>General
Legal Compliance</t>
  </si>
  <si>
    <t xml:space="preserve">Ongoing review and monitoring of obligations under the compliance tracker. </t>
  </si>
  <si>
    <t>EMP (D) Section 8.1 Objectives and Targets
CEMP (B) Section 8.3 Objectives and Targets</t>
  </si>
  <si>
    <t>Conduct environmental inspections weekly:
- Heritage management;
- Sustainability management for ISC rating;
- Waste management;
- Flora and fauna management;
- Water discharge management:
- Hazardous chemicals and dangerous goods;
- Air quality and dust management;
- Applicable impact mitigation strategies; and
- Biosecurity.</t>
  </si>
  <si>
    <t xml:space="preserve">EMP (D) Section 8.1 Objectives and Targets and Section 11.1 Audit and Inspection 
CEMP (B) Section 8.3 Objectives and Targets and Section 11.1 Audit and Inspection </t>
  </si>
  <si>
    <t xml:space="preserve">Hydrocarbon and chemical </t>
  </si>
  <si>
    <t xml:space="preserve">Daily site inspections are to be undertaken and documented by DT Infrastructure throughout the construction phase and are to include the identification of any actual or potential contamination issues or risks. </t>
  </si>
  <si>
    <t>CEMP (B) Annex I Section 5.7.2 Environmental Monitoring</t>
  </si>
  <si>
    <t xml:space="preserve">Daily site inspection checklist (to be developed and created in Lucidity) OR
Updated in CEMP to weekly occurrence </t>
  </si>
  <si>
    <t>Daily</t>
  </si>
  <si>
    <t xml:space="preserve">Immediately following a defined rainfall event, inspect and conduct necessary maintenance on all bunded chemical and hazardous storage areas </t>
  </si>
  <si>
    <t>Ad hoc - following rainfall event exceeding 10mm in 24hr period</t>
  </si>
  <si>
    <t>Noise and vibration</t>
  </si>
  <si>
    <t>Unattended vibration measurement - where necessary, the installation of continuous ground vibration monitoring location. 
This monitoring system is to include real-time alerts to notify key site personnel of exceedances of the building damage vibration limit (5 PPV mm/s) and where exceeded implement a stop work procedure to prevent further impact until rectified.  
Previous day vibration monitoring data supplied daily to key site personnel to allow for ongoing review and management of vibration levels experienced during construction.</t>
  </si>
  <si>
    <t>CEMP (B) Annex F Section 8.5 Noise and Vibration Mitigation Measures</t>
  </si>
  <si>
    <t>Ad hoc - during vibration-generating activities</t>
  </si>
  <si>
    <t>Unattended noise monitoring will be required prior to construction works commencing for the purposes of measuring representative ambient noise levels for the construction site.</t>
  </si>
  <si>
    <t>CEMP (B) Annex F Section 6.1.2 Ambient and Background Noise Measurement</t>
  </si>
  <si>
    <t xml:space="preserve">Source attended vibration measurement - attended vibration measurements are required at the commencement of vibration-generating activities (use of the listed plant within the safe working buffer distances identified) to confirm that vibration levels are within the acceptable range to prevent building damage and adjust the safe working buffer distances as necessary. </t>
  </si>
  <si>
    <t>Prior to construction works commencing / At the commencement of vibration-generating activities</t>
  </si>
  <si>
    <t>The following records will be maintained on site to assist with reporting requirements: 
- The noise levels of plant and equipment must have operating Sound Power or Sound Pressure levels less than modelled;
- Source attended vibration measurements and unattended vibration measurements when monitored; and
- Tracking and reporting of complaints will be undertaken in accordance with Section 12.5 of the Project CEMP.
Regular reporting of noise and vibration monitoring data will be recorded as per TMR’s Environmental Processes Manual and the Transport Noise Management Code of Practice.</t>
  </si>
  <si>
    <t>CEMP (B) Annex F Section 8.7 Reporting and Audits</t>
  </si>
  <si>
    <t>Soil and land</t>
  </si>
  <si>
    <t>PFAS/PFOS impacted soil management
- Monthly report to outline quantities, source location, analytical results and reuse location.
- Soil disposal off site is to be tracked using the PFAS Waste Tracking Register and reported in the PFAS Monthly Report against the SDP permitted volumes for disposal.
Monitoring / tracking of PFAS/PFOS impact soil to include:
- Quantities; 
- Source location;
- Analytical results; and 
- Reuse location.</t>
  </si>
  <si>
    <t>CEMP (B) Annex J Section 7 Implementation of Controls</t>
  </si>
  <si>
    <t xml:space="preserve">Roads onsite and leaving the site should be inspected regularly to determine if additional measures are needed to prevent the movement of soil and dust from site onto the surrounding roads by site vehicles and plant. </t>
  </si>
  <si>
    <t>CEMP (B) Annex J Section 7.3 Monitoring</t>
  </si>
  <si>
    <t>Regular site inspections will be carried out by the Environment &amp; Sustainability Manager or Supervisor and the Site Supervisor during all stages of excavation, storage and transport of contaminated materials. These inspections should be conducted at a minimum of weekly, or more frequently when potentially environmentally damaging works are taking place (i.e., stockpiling of ASS).</t>
  </si>
  <si>
    <t xml:space="preserve">Water quality monitoring of pH and turbidity shall be conducted on all nearby water bodies on a weekly basis or after a rainfall event that exceeds 10mm in a 24-hour period. These results are to be recorded and provided to the onsite Environment and Sustainability Manager. 
Water must be tested to ensure it is compliant with all relevant regulations prior to discharging from the site. </t>
  </si>
  <si>
    <t>Weekly Environmental Inspection Checklist
Weekly Environmental Inspection Checklist conducted following rainfall event
Water Release Permit</t>
  </si>
  <si>
    <t>Weekly
Ad hoc:
- Following rainfall event exceeding 10mm in 24hr period
- Prior to discharging from site</t>
  </si>
  <si>
    <t xml:space="preserve">The Project Engineer and the Site Supervisor will conduct regular (weekly, or after rainfall exceeding 10mm in 24 hours) inspections of the site to ensure that erosion and sediment control from stockpiles and onsite earthworks are effective in their mitigation of sediment and erosion and that all water bodies near the site are well protected. </t>
  </si>
  <si>
    <t>Weekly Environmental Inspection Checklist conducted following rainfall event</t>
  </si>
  <si>
    <t>Weekly
Ad hoc - following rainfall event exceeding 10mm in 24hr period</t>
  </si>
  <si>
    <t>Site Supervisor
Environmental and Sustainability Team</t>
  </si>
  <si>
    <t>Sustainability Data</t>
  </si>
  <si>
    <t>The project must report energy and greenhouse gas emissions in accordance with DTI-ZH-PR077.1 Sustainability Data Collection and Reporting Procedure</t>
  </si>
  <si>
    <t xml:space="preserve">EMP (D) Section 6.2 Legislation, Standards and Regulations </t>
  </si>
  <si>
    <t>Environmental Data Collection Record form including:
- Greenhouse gas and energy data</t>
  </si>
  <si>
    <t xml:space="preserve">Monthly </t>
  </si>
  <si>
    <t xml:space="preserve">As per DTI-ZH-PR077.1 Sustainability Data Collection and Reporting Procedure, monthly reporting for DTI includes:
- Greenhouse gas and energy data for compliance with the NGER Act if it is determined that DTI holds the operational control (for other contracts as well, it is recommended to record this data to enable measuring and managing Scope 3 emissions which is a focus area under FAS decarbonisation plan); and
- Waste generation and water consumption data are gathered using the Environmental Data Collection Record described in DTI-ZH-PR077.1 Sustainability Data Collection and Reporting Procedure.
</t>
  </si>
  <si>
    <t>EMP (D) Section 12.5 Reporting
CEMP (B) Section 12.5 Reporting</t>
  </si>
  <si>
    <t>Environmental Data Collection Record form including:
- Greenhouse gas and energy data
- Waste generation
- Water consumption</t>
  </si>
  <si>
    <t>Waste</t>
  </si>
  <si>
    <r>
      <t xml:space="preserve">Waste Transport Certificates recorded and retained onsite. 
Tracking and reporting of trackable regulated waste will be undertaken in accordance with statutory requirements under the </t>
    </r>
    <r>
      <rPr>
        <i/>
        <sz val="11"/>
        <color theme="1"/>
        <rFont val="Arial"/>
        <family val="2"/>
      </rPr>
      <t>Environmental Protection Act 1994.</t>
    </r>
    <r>
      <rPr>
        <sz val="11"/>
        <color theme="1"/>
        <rFont val="Arial"/>
        <family val="2"/>
      </rPr>
      <t xml:space="preserve"> 
All waste data (trackable regulated and non-trackable) will be recorded in the Master Waste Register. </t>
    </r>
  </si>
  <si>
    <t>CEMP (B) Annex K Section 6 Mitigation Measures and Section 10 Reporting</t>
  </si>
  <si>
    <t xml:space="preserve">Waste Disposal Register </t>
  </si>
  <si>
    <t>Daily informal visual inspection of waste collection areas and general site housekeeping.
Daily inspections of plant and equipment must be undertaken prior to commencing works to ensure that all leaks and drops are identified and rectified immediately.
Daily information visual inspection of plant and equipment storage areas to ensure the efficacy of the bunds.
Report all identified trends of liquid storage efficacy during next business day pre-start.</t>
  </si>
  <si>
    <t>CEMP (B) Annex K Section 9 Monitoring</t>
  </si>
  <si>
    <t xml:space="preserve">Daily site inspection checklist (to be developed and created in Lucidity) OR
Documented daily in site diaries OR
Updated in CEMP to weekly occurrence </t>
  </si>
  <si>
    <t>Characterise any unlabelled waste.</t>
  </si>
  <si>
    <t>Water quality and waterways</t>
  </si>
  <si>
    <t>Post-construction inspections will be undertaken within four weeks of construction completion</t>
  </si>
  <si>
    <t>CEMP (B) Annex L Section 5.8 Monitoring and Reporting</t>
  </si>
  <si>
    <t>Post-construction survey (water quality and waterways)</t>
  </si>
  <si>
    <t>Post construction - within four weeks of construction completion</t>
  </si>
  <si>
    <t>Construction Manager</t>
  </si>
  <si>
    <t>Undertake pre-construction survey to identify sediment and erosion control requirements.</t>
  </si>
  <si>
    <t>Pre-construction survey (erosion and sediment control requirements)</t>
  </si>
  <si>
    <t>Monthly formal environmental inspections through Environmental Inspection Checklist</t>
  </si>
  <si>
    <t>Compliance Matter</t>
  </si>
  <si>
    <t>Relevant Legislation / Standard or Code</t>
  </si>
  <si>
    <t>Practical Implementation</t>
  </si>
  <si>
    <t>Compliance Check</t>
  </si>
  <si>
    <t xml:space="preserve">Evidence </t>
  </si>
  <si>
    <t>The reuse or release of PFAS impacted water and the reuse of soil with low level PFAS for construction activities</t>
  </si>
  <si>
    <t>All</t>
  </si>
  <si>
    <t>Compliance Matter 1: The reuse PFAS water onsite</t>
  </si>
  <si>
    <t>Extraction of groundwater with low level PFAS during construction activities.</t>
  </si>
  <si>
    <r>
      <rPr>
        <i/>
        <sz val="9"/>
        <rFont val="Arial"/>
        <family val="2"/>
        <scheme val="minor"/>
      </rPr>
      <t xml:space="preserve">Environmental Protection Act 1994 - </t>
    </r>
    <r>
      <rPr>
        <sz val="9"/>
        <rFont val="Arial"/>
        <family val="2"/>
        <scheme val="minor"/>
      </rPr>
      <t>S319 and S440ZG
Environmental Protection Regulation 2019</t>
    </r>
  </si>
  <si>
    <t xml:space="preserve">The Builder will need to dewater groundwater to safely install drainage and infrastructure below the ground surface in accordance with the design. </t>
  </si>
  <si>
    <t>CMP Ormeau Facility (C) - Section 11.7</t>
  </si>
  <si>
    <t>Low level PFAS impacted water to be pumped to the appropriate designated water storage tanks for reuse or release in accordance with project requirements (i.e., CEMP).</t>
  </si>
  <si>
    <t>Environmental Manager</t>
  </si>
  <si>
    <t>Construction methodologies prepared for activities to include method for dewatering and transfer into storage facilities.</t>
  </si>
  <si>
    <t>Continuous dewatering from the construction activity is to be undertaken in accordance with project requirements (i.e., DWP).</t>
  </si>
  <si>
    <t>Management, storage and release of groundwater and surface water with low level PFAS groundwater and surface water on site during construction activities.</t>
  </si>
  <si>
    <r>
      <rPr>
        <i/>
        <sz val="9"/>
        <rFont val="Arial"/>
        <family val="2"/>
        <scheme val="minor"/>
      </rPr>
      <t>Environmental Protection Act 1994 -</t>
    </r>
    <r>
      <rPr>
        <sz val="9"/>
        <rFont val="Arial"/>
        <family val="2"/>
        <scheme val="minor"/>
      </rPr>
      <t xml:space="preserve"> S319 and S440ZG
</t>
    </r>
    <r>
      <rPr>
        <sz val="9"/>
        <color rgb="FFFF0000"/>
        <rFont val="Arial (Body)"/>
      </rPr>
      <t>Environmental Protection Regulation 2019 - S55 of Sch2</t>
    </r>
    <r>
      <rPr>
        <sz val="9"/>
        <rFont val="Arial"/>
        <family val="2"/>
        <scheme val="minor"/>
      </rPr>
      <t xml:space="preserve">
PFAS National Environmental Management Plan (V2.0)
Australian Water Quality Guidelines</t>
    </r>
  </si>
  <si>
    <t xml:space="preserve">The Builder will accumulate and passively release extracted groundwater and/ or surface water collected after rainfall events, in accordance with the CEMP. </t>
  </si>
  <si>
    <t>Management and, storage and release of groundwater and surface water with low level PFAS groundwater and surface water on site during construction activities.</t>
  </si>
  <si>
    <t>Use of low level concentrated PFAS water on site.</t>
  </si>
  <si>
    <t xml:space="preserve">Control measures in accordance with project requirements (i.e., DMP and CEMP) to mitigate issues associated with run‐off. </t>
  </si>
  <si>
    <t>CEMP to be kept up to date. Offsite monitoring records to be provided in the Monthly Report.</t>
  </si>
  <si>
    <t>After six months of use, undertake a review of the water quantities.</t>
  </si>
  <si>
    <t>Project Environmental Manager to undertake a six-monthly review of the quantities of water used for the project and a copy
of the review findings will be provided in the PFAS Monthly Compliance Report.</t>
  </si>
  <si>
    <t xml:space="preserve">Treatment of low level PFAS impacted water. </t>
  </si>
  <si>
    <r>
      <rPr>
        <i/>
        <sz val="9"/>
        <rFont val="Arial"/>
        <family val="2"/>
        <scheme val="minor"/>
      </rPr>
      <t xml:space="preserve">Environmental Protection Act 1994 </t>
    </r>
    <r>
      <rPr>
        <sz val="9"/>
        <rFont val="Arial"/>
        <family val="2"/>
        <scheme val="minor"/>
      </rPr>
      <t xml:space="preserve">- S319 and S440ZG
</t>
    </r>
    <r>
      <rPr>
        <sz val="9"/>
        <color rgb="FFFF0000"/>
        <rFont val="Arial (Body)"/>
      </rPr>
      <t>Environmental Protection Regulation 2019 - S55 of Sch2</t>
    </r>
    <r>
      <rPr>
        <sz val="9"/>
        <rFont val="Arial"/>
        <family val="2"/>
        <scheme val="minor"/>
      </rPr>
      <t xml:space="preserve">
PFAS National Environmental Management Plan (V2.0)
Australian Water Quality Guidelines</t>
    </r>
  </si>
  <si>
    <t xml:space="preserve">The Builder will have the option to utilise a water treatment plant to treat low level PFAS water to an approved concentration and quality for reuse onsite (i.e. for dust suppression). </t>
  </si>
  <si>
    <t>Pumps, pipes and hoses used to transfer low level PFAS water are to be regularly checked for integrity (checked for leaks from the couplings, holes in the hoses etc.)</t>
  </si>
  <si>
    <t xml:space="preserve">Daily checks of the treatment system and associated infrastructure during pumping and treatment of water. </t>
  </si>
  <si>
    <t xml:space="preserve">Release of low level PFAS impacted water into the receiving environment. </t>
  </si>
  <si>
    <r>
      <rPr>
        <i/>
        <sz val="9"/>
        <rFont val="Arial"/>
        <family val="2"/>
        <scheme val="minor"/>
      </rPr>
      <t xml:space="preserve">Environmental Protection Act 1994 </t>
    </r>
    <r>
      <rPr>
        <sz val="9"/>
        <rFont val="Arial"/>
        <family val="2"/>
        <scheme val="minor"/>
      </rPr>
      <t>- S319 and S440ZG
PFAS National Environmental Management Plan (V2.0)
Australian Water Quality Guidelines</t>
    </r>
  </si>
  <si>
    <t xml:space="preserve">The Builder will treat the low level PFAS water to an approved concentration and quality for release into the receiving environment (Compliance Matter 3). </t>
  </si>
  <si>
    <t xml:space="preserve">Deliver water quality toolbox talks and other training for the release of low level PFAS water. </t>
  </si>
  <si>
    <t xml:space="preserve">Toolbox and training conducted for site personnel to be recorded and conducted as required (i.e., during treatment and release, or when new staff commence works onsite). </t>
  </si>
  <si>
    <t>Low level PFAS water is to be treated to within the discharge criteria specified accordance with Section 4.4.3.2.</t>
  </si>
  <si>
    <t xml:space="preserve">Water analysis to be completed by a NATA accredited laboratory prior to release. </t>
  </si>
  <si>
    <t xml:space="preserve">The accidental release of low level PFAS contaminated water (exceeding the criteria specified accordance with Section 4.4.3.2. Will be immediately contained, cleaned up and if required, the affected area remediated. </t>
  </si>
  <si>
    <t xml:space="preserve">Reporting and remediation activities to be confirmed and completed under the supervision of the Project Manager. </t>
  </si>
  <si>
    <t>Compliance Matter 2: Reuse of soil with low level detectable PFAS for construction activities</t>
  </si>
  <si>
    <t>Reuse of soil with low level detectable PFAS within the construction works.</t>
  </si>
  <si>
    <r>
      <rPr>
        <i/>
        <sz val="9"/>
        <rFont val="Arial"/>
        <family val="2"/>
        <scheme val="minor"/>
      </rPr>
      <t>Environmental Protection Act 1994</t>
    </r>
    <r>
      <rPr>
        <sz val="9"/>
        <rFont val="Arial"/>
        <family val="2"/>
        <scheme val="minor"/>
      </rPr>
      <t xml:space="preserve"> - S319,S424 and S425 (S739) and S440ZG</t>
    </r>
    <r>
      <rPr>
        <i/>
        <sz val="9"/>
        <rFont val="Arial"/>
        <family val="2"/>
        <scheme val="minor"/>
      </rPr>
      <t xml:space="preserve">
</t>
    </r>
    <r>
      <rPr>
        <sz val="9"/>
        <rFont val="Arial"/>
        <family val="2"/>
        <scheme val="minor"/>
      </rPr>
      <t xml:space="preserve">
</t>
    </r>
    <r>
      <rPr>
        <sz val="9"/>
        <color rgb="FFFF0000"/>
        <rFont val="Arial (Body)"/>
      </rPr>
      <t>Environmental Protection Regulation 2019 - S55 of Sch2</t>
    </r>
    <r>
      <rPr>
        <sz val="9"/>
        <rFont val="Arial"/>
        <family val="2"/>
        <scheme val="minor"/>
      </rPr>
      <t xml:space="preserve">
PFAS National Environmental Management Plan (V2.0)</t>
    </r>
  </si>
  <si>
    <t>The Builder will reuse low level PFAS soil on the site within permanent works.</t>
  </si>
  <si>
    <t>CMP Ormeau Facility (C) - Section 12.7</t>
  </si>
  <si>
    <t>Ensure low level concentrations of PFAS material reused on site is recorded by the Project Environmental Manager and documented in a brief letter including figures of the source location, analytical results and reuse location for inclusion in the sites “Close Out Report”.</t>
  </si>
  <si>
    <t>Project Environmental Manager to keep records and map where material is reused on site. Provide this information in the Close Out Report and monthly reporting to TMR.</t>
  </si>
  <si>
    <t>Where material is not geotechnically sound for reuse and has been impacted by PFAS, the material is to be disposed from site to an appropriately licenced waste management facility.</t>
  </si>
  <si>
    <t>Waste disposal records captured in the PFAS Waste tracking register.</t>
  </si>
  <si>
    <t>Stockpiling, storage and relocation of low level PFAS impacted soil during construction.</t>
  </si>
  <si>
    <r>
      <rPr>
        <i/>
        <sz val="9"/>
        <rFont val="Arial"/>
        <family val="2"/>
        <scheme val="minor"/>
      </rPr>
      <t>Environmental Protection Act 1994</t>
    </r>
    <r>
      <rPr>
        <sz val="9"/>
        <rFont val="Arial"/>
        <family val="2"/>
        <scheme val="minor"/>
      </rPr>
      <t xml:space="preserve"> - S319,S424 and S425 (S739) and S440ZG
PFAS National Environmental Management Plan (V2.0)</t>
    </r>
  </si>
  <si>
    <t xml:space="preserve">The Builder will store and stockpile low level PFAS impacted soil during construction in accordance with the CEMP. 
The Builder will confirm a location onsite that is suitable for the excess stockpiled material. </t>
  </si>
  <si>
    <t>Ensure the CEMP is updated to capture how stockpiles are to be managed on site.</t>
  </si>
  <si>
    <t>Updated CEMP</t>
  </si>
  <si>
    <t>Consult the Project Environmental Manager when proposing to stockpile material. Ensure a risk assessment of the location of the proposed storage area in accordance with the CEMP is undertaken by the Project Environmental Manager.</t>
  </si>
  <si>
    <t xml:space="preserve">Risk assessment to confirm the suitability of the material in the stockpiled material.  </t>
  </si>
  <si>
    <t xml:space="preserve">Compliance Matter 3: The releasing of PFAS impacted water to surface water </t>
  </si>
  <si>
    <t>Management and Storage of low level PFAS impacted groundwater during dewatering activities.</t>
  </si>
  <si>
    <r>
      <rPr>
        <i/>
        <sz val="9"/>
        <rFont val="Arial"/>
        <family val="2"/>
        <scheme val="minor"/>
      </rPr>
      <t>Environmental Protection Act 1994 -</t>
    </r>
    <r>
      <rPr>
        <sz val="9"/>
        <rFont val="Arial"/>
        <family val="2"/>
        <scheme val="minor"/>
      </rPr>
      <t xml:space="preserve"> S319 and S440ZG</t>
    </r>
  </si>
  <si>
    <t xml:space="preserve">The Builder will manage groundwater from dewatering and surface water activities during construction in appropriate storage facilities and managed in accordance with the CEMP. </t>
  </si>
  <si>
    <t xml:space="preserve">Release of PFAS impacted water into receiving environment. </t>
  </si>
  <si>
    <t xml:space="preserve">The Builder will have the option to reuse water onsite (Compliance Matter 1) or release into the receiving environment. </t>
  </si>
  <si>
    <t>ADR Compliance Requirement</t>
  </si>
  <si>
    <t>Timing/ Trigger</t>
  </si>
  <si>
    <t>To change all of these to Creek crossings that required ADR WWBW</t>
  </si>
  <si>
    <t>Notification must be submitted prior to, but no more than twenty (20) business days before work commences.
Pre-work notification can be submitted through the online notification system at http://adr.fisheries.qld.gov.au.
If you are having trouble accessing the online system, notification forms (found in section 11) can be completed and submitted to Fisheries Queensland, Department of Agriculture and Fisheries (DAF) by email to accepteddevelopment@daf.qld.gov.au.
If notifying by email, a map of the location of the works is to be submitted with the pre-works and post works notification forms and all sections of the relevant notification forms must be completed in full.
Post-works notification must be completed and submitted within 15 business days of the completion of the works.
For entities undertaking a program of works, a single pre-works and post-works notification can be made for the waterway barriers.</t>
  </si>
  <si>
    <t>Accepted development requirements for operational work that is constructing or raising waterway barrier works - Section 4.1 Notification</t>
  </si>
  <si>
    <t>Notification using:
- 11.1 Pre-works notification form; and
- 11.2 Post-works notification form.
Notification (pre and post) to be undertaken in accordance with dates in OMF DAF WWBW Notification Register.</t>
  </si>
  <si>
    <t>All WWBW</t>
  </si>
  <si>
    <t>Sites where accepted development is occurring must be open for inspection by DAF staff during business hours, during works and on request.</t>
  </si>
  <si>
    <t>Accepted development requirements for operational work that is constructing or raising waterway barrier works - Section 4.2 Site access</t>
  </si>
  <si>
    <t>Note</t>
  </si>
  <si>
    <t>The following standards apply under these accepted development requirements:
1. Development work minimises impacts to waterways and fish habitats.
2. In tidal waterways, tidal exchange and flow at the site must not be impeded for more than 21 days. After 21 days, tidal flushing must be restored (tidal flushing is recommended for a minimum of 48 hours).
3. Excavation work in un-bunded tidal areas is to be scheduled to occur within two hours either side of low tide.
4. Works do not commence during times of elevated flow and in un-bunded tidal areas is to be scheduled to occur within two hours either side of low tide.
5. Where works are for the replacement of an existing waterway barrier work, the defunct waterway barrier work is to be completely removed as soon as possible and within four weeks of the completion of the replacement works.
6. Replacement of existing structures complies with the requirements for the construction of a new structure, under the relevant section of this code.
7. Other than spoil deliberately used for re-profiling to restore bed and banks to natural profiles, spoil from excavation is removed from tidal land and other wetlands and waterways.
8. Soil and sediment must not be removed from areas subject to quarantine restrictions e.g. declared fire ant areas.
9. All material used in the works are acid sulfate soil (ASS) free and potential acid sulfate soils (PASS) free or have been treated to accepted standards to prevent movement of sediment, runoff and leachate to fish habitats (guidance for current accepted standards can be found in the QASSTM: Soil management guidelines).
10. Impacts on water quality are to be minimised by undertaking the works to the standard set out in the current version of the Best Practice Erosion and Sediment Control, published by the International Erosion Control Association, Australasia.
11. Provisions are made to minimise the risk of fish kills arising from the works e.g. through entrapment of fish upstream or between works.
12. In the event that fish that have been trapped by the works, fish salvage activities in accordance with the Fisheries Queensland Guidelines for Fish Salvage (available at www.daf.qld.gov.au) are implemented immediately.
13. Fish kills must be reported to the Department of Environment and Science on 1300 130 372.
14. For any part of the waterway bed or banks adjacent to the works that has been altered by the waterway barrier works, the site is restored and/or rehabilitated so that as a minimum:
- Stability and profiles of the bed and banks are re-instated to natural stream profiles and stability within five (5) business days of the completion of the works
- The waterway bed is retained with natural substrate or reconstructed with substrate comparable to the natural substrate size and consistency 
- Site conditions allow the rapid re-establishment of native vegetation and cover or native species are replanted to re-establish the natural plant community
15. Maintenance works on culverts that are for re-sleeving can only be undertaken once on any given culvert cell.</t>
  </si>
  <si>
    <t>Accepted development requirements for operational work that is constructing or raising waterway barrier works - Section 4.3 Standards</t>
  </si>
  <si>
    <t xml:space="preserve">Work Instruction for Waterway Barrier Works ADR / RRP Exemption Requirements to be developed to outline the standards and controls for watercourse crossings on the Project. </t>
  </si>
  <si>
    <t>Environmental and Sustainability Team
Engineering and Design Team
Construction Manager</t>
  </si>
  <si>
    <t>Minimise impacts to fisheries resources and fish habitats by taking the following actions:
- Minimise disturbance to the instream bed and banks e.g. use geofabric as a work base, or construct a work platform above the substrate. 
- If it is necessary to remove vegetation, aim to cut vegetation no lower than ground level and leave the root in the ground to aid in stabilisation. If deep excavation is required during construction the roots may only be removed within the construction footprint area
- Minimise the area of land disturbed or compacted e.g. construct a work platform above the substrate
- Ensure the least volume of soil or sediment is disturbed
- Limit the use of machinery within waterways
- Use machinery no greater than the capacity required for the purpose
- Implement sediment and erosion protection measures
- Undertake works at times that minimise disruption to fish migration and the flowering and fruiting of marine plants
Works should be managed to avoid fish stress. Signs of distressed fish may include gasping at the surface, rapid breathing, rolling or lethargy.</t>
  </si>
  <si>
    <t>Accepted development requirements for operational work that is constructing or raising waterway barrier works - Section 4.4 Guidance to minimise impacts</t>
  </si>
  <si>
    <t>WWBW #1 / WWBW #2</t>
  </si>
  <si>
    <r>
      <rPr>
        <b/>
        <sz val="9"/>
        <rFont val="Arial"/>
        <family val="2"/>
        <scheme val="minor"/>
      </rPr>
      <t>Duration</t>
    </r>
    <r>
      <rPr>
        <sz val="9"/>
        <rFont val="Arial"/>
        <family val="2"/>
        <scheme val="minor"/>
      </rPr>
      <t xml:space="preserve">
For works in amber and green waterways, works must commence and finish within a maximum timeframe of 360 days.
Instream sediment control measures associated with the works must be removed within these periods. </t>
    </r>
  </si>
  <si>
    <t>Accepted development requirements for operational work that is constructing or raising waterway barrier works - Section 7.2 Temporary waterway barrier works</t>
  </si>
  <si>
    <t>Duration / timeframe for works tracked in OMF DAF WWBW Notification Register</t>
  </si>
  <si>
    <t>Environmental and Sustainability Team
Construction Manager</t>
  </si>
  <si>
    <r>
      <rPr>
        <b/>
        <sz val="9"/>
        <color rgb="FF000000"/>
        <rFont val="Arial"/>
        <family val="2"/>
        <scheme val="minor"/>
      </rPr>
      <t xml:space="preserve">Waterway barrier work construction and design
</t>
    </r>
    <r>
      <rPr>
        <sz val="9"/>
        <color rgb="FF000000"/>
        <rFont val="Arial"/>
        <family val="2"/>
        <scheme val="minor"/>
      </rPr>
      <t>The dimensions of the temporary barrier are limited to the minimum practicable for the site and purpose.</t>
    </r>
  </si>
  <si>
    <r>
      <rPr>
        <b/>
        <sz val="9"/>
        <color rgb="FF000000"/>
        <rFont val="Arial"/>
        <family val="2"/>
        <scheme val="minor"/>
      </rPr>
      <t xml:space="preserve">Removal of temporary waterway barrier
</t>
    </r>
    <r>
      <rPr>
        <sz val="9"/>
        <color rgb="FF000000"/>
        <rFont val="Arial"/>
        <family val="2"/>
        <scheme val="minor"/>
      </rPr>
      <t>If there is more than one temporary waterway barrier in the location, the most downstream waterway barrier must be removed first.
All waterway barrier material must be removed from within the waterway and disposed of at least 50m away from the waterway.</t>
    </r>
  </si>
  <si>
    <t>Bridge Creek Diversion, Ormeau</t>
  </si>
  <si>
    <t>Construction</t>
  </si>
  <si>
    <t>Development limited to approved waterway diversion and permanent filling works as shown on approved General Arrangement drawing ENG-GA0041A Rev 1.01. [2402-39300...A Decision | PDF]</t>
  </si>
  <si>
    <t>Condition 1, SARA Ref 2402-39300 SDA [2402-39300...A Decision | PDF]</t>
  </si>
  <si>
    <t>Ensure all works are undertaken only within approved footprint and design.</t>
  </si>
  <si>
    <t>At all times [2402-39300...A Decision | PDF]</t>
  </si>
  <si>
    <t>Ongoing</t>
  </si>
  <si>
    <t>Not completed</t>
  </si>
  <si>
    <t>Compare to GIS as evidence</t>
  </si>
  <si>
    <t>Approved plans, site inspections</t>
  </si>
  <si>
    <t>Bridge Creek Diversion</t>
  </si>
  <si>
    <t>Construct diversion in accordance with approved long sections and typical section drawings.</t>
  </si>
  <si>
    <t>Condition 2</t>
  </si>
  <si>
    <t>Verify construction matches approved drawings EN-LS0041A, EN-LS0042A, EN-TC0043A.</t>
  </si>
  <si>
    <t>Duration of works</t>
  </si>
  <si>
    <t>Survey records, as-constructed drawings</t>
  </si>
  <si>
    <t>Construction / Rehabilitation</t>
  </si>
  <si>
    <t>Undertake maintenance, monitoring and rehabilitation in accordance with approved Rehabilitation and Monitoring Plans.</t>
  </si>
  <si>
    <t>Condition 3</t>
  </si>
  <si>
    <t>Implement rehabilitation works and monitoring program.</t>
  </si>
  <si>
    <t>As specified in plans</t>
  </si>
  <si>
    <t>As per monitoring schedule</t>
  </si>
  <si>
    <t>In Landscaping Scope</t>
  </si>
  <si>
    <t>Monitoring reports, rehabilitation records</t>
  </si>
  <si>
    <t>Waterway Works</t>
  </si>
  <si>
    <t>Dewatering and fish salvage to comply with approved Construction Phase Dewatering and Fish Salvage Plan.</t>
  </si>
  <si>
    <t>Condition 4</t>
  </si>
  <si>
    <t>Implement approved fish salvage and dewatering procedures.</t>
  </si>
  <si>
    <t>Environmental Manager / Contractor</t>
  </si>
  <si>
    <t>During works</t>
  </si>
  <si>
    <t>Evidence Link required</t>
  </si>
  <si>
    <t>Fish salvage records, field sheets</t>
  </si>
  <si>
    <t>Pre-construction / Completion</t>
  </si>
  <si>
    <t>Notify Department of Agriculture and Fisheries of commencement and completion of works.</t>
  </si>
  <si>
    <t>Condition 5</t>
  </si>
  <si>
    <t>Submit commencement and completion notifications quoting SARA reference 2402-39300 SDA.</t>
  </si>
  <si>
    <t>5-20 business days before start; within 15 business days of completion.</t>
  </si>
  <si>
    <t>Trigger based</t>
  </si>
  <si>
    <t>Required at end of conditions</t>
  </si>
  <si>
    <t>Email notifications sent to DAF</t>
  </si>
  <si>
    <t>Spoil must not be disposed of within waterways.</t>
  </si>
  <si>
    <t>Condition 6</t>
  </si>
  <si>
    <t>Manage and dispose of spoil outside waterway areas.</t>
  </si>
  <si>
    <t>At all times</t>
  </si>
  <si>
    <t>Site Supervisor</t>
  </si>
  <si>
    <t>Waste tracking records</t>
  </si>
  <si>
    <t>Site must remain open for inspection by Fisheries inspectors.</t>
  </si>
  <si>
    <t>Condition 7</t>
  </si>
  <si>
    <t>Allow inspector access to fisheries development works.</t>
  </si>
  <si>
    <t>Site Manager</t>
  </si>
  <si>
    <t>Inspection records</t>
  </si>
  <si>
    <t>Tie-in Areas</t>
  </si>
  <si>
    <t>Completion</t>
  </si>
  <si>
    <t>Restore temporarily disturbed land profiles at diversion tie-ins to pre-work profiles.</t>
  </si>
  <si>
    <t>Condition 8</t>
  </si>
  <si>
    <t>Re-establish original profiles and stabilise disturbed areas.</t>
  </si>
  <si>
    <t>Within 10 business days of completion and before post-works notification.</t>
  </si>
  <si>
    <t>Survey records, photographs</t>
  </si>
  <si>
    <t>Waterway Diversion</t>
  </si>
  <si>
    <t>Design / Construction / Operation</t>
  </si>
  <si>
    <t>Provide upstream and downstream fish passage across each waterway barrier.</t>
  </si>
  <si>
    <t>Condition 9</t>
  </si>
  <si>
    <t>Maintain uninterrupted fish passage.</t>
  </si>
  <si>
    <t>Inspection and monitoring records</t>
  </si>
  <si>
    <t>Fish passage must cater for whole fish community, including species, life stages and swimming abilities.</t>
  </si>
  <si>
    <t>Condition 10</t>
  </si>
  <si>
    <t>Ensure fish passage design and operation remain compliant.</t>
  </si>
  <si>
    <t>Monitoring reports</t>
  </si>
  <si>
    <t>Construction / Operation</t>
  </si>
  <si>
    <t>Construct and maintain barriers to avoid fish injury, mortality or entrapment.</t>
  </si>
  <si>
    <t>Condition 11</t>
  </si>
  <si>
    <t>Inspect and maintain structures to prevent hazards to fish.</t>
  </si>
  <si>
    <t>Asset Owner / Contractor</t>
  </si>
  <si>
    <t>Operation / Maintenance</t>
  </si>
  <si>
    <t>Maintain fish passage functionality, ensuring no sudden drops and low-flow channel remains clear of debris.</t>
  </si>
  <si>
    <t>Condition 12</t>
  </si>
  <si>
    <t>Inspect and maintain diversion channel.</t>
  </si>
  <si>
    <t>Maintenance Manager</t>
  </si>
  <si>
    <t>Maintenance logs</t>
  </si>
  <si>
    <t>Avoid works within waterways during elevated flow events.</t>
  </si>
  <si>
    <t>Condition 13</t>
  </si>
  <si>
    <t>Suspend waterway works during high flow conditions.</t>
  </si>
  <si>
    <t>As required</t>
  </si>
  <si>
    <t>Site diary, weather records</t>
  </si>
  <si>
    <t>Construct diversion so there are no drops in elevation at upstream and downstream tie-in locations.</t>
  </si>
  <si>
    <t>Condition 14</t>
  </si>
  <si>
    <t>Verify tie-ins provide continuous bed levels for fish passage.</t>
  </si>
  <si>
    <t>Survey certification, as-constructed drawings</t>
  </si>
  <si>
    <t xml:space="preserve">Compliance Action </t>
  </si>
  <si>
    <t>TNAR</t>
  </si>
  <si>
    <t>Temporary Access</t>
  </si>
  <si>
    <t xml:space="preserve">SARA Approval to Disturb Marine Plants </t>
  </si>
  <si>
    <t>2308-36075 SDA</t>
  </si>
  <si>
    <t>Notification to DAF
Identification of Marine Plants Disturbed</t>
  </si>
  <si>
    <t>Approval</t>
  </si>
  <si>
    <t>2309-36996 SDA</t>
  </si>
  <si>
    <t>NAC</t>
  </si>
  <si>
    <r>
      <t>Project Area</t>
    </r>
    <r>
      <rPr>
        <sz val="9"/>
        <rFont val="Arial"/>
        <family val="2"/>
        <scheme val="minor"/>
      </rPr>
      <t xml:space="preserve"> means the area to which this CHMP applies as shown on the maps in Schedule 2, or such other area required as agreed by notice under clause 24(c). Note that the Project Area excludes watercourses for which the registered native title claimant for the Danggan Balun Claim is the Aboriginal party, as that term is defined in the AHCA. These areas are marked in red hatching on the maps in Schedule 2. </t>
    </r>
  </si>
  <si>
    <t>Cultural Heritage Management Plan - Jabree Ltd - Section 1 Defined terms and interpretation</t>
  </si>
  <si>
    <r>
      <rPr>
        <i/>
        <sz val="9"/>
        <rFont val="Arial"/>
        <family val="2"/>
        <scheme val="minor"/>
      </rPr>
      <t>Noted</t>
    </r>
    <r>
      <rPr>
        <sz val="9"/>
        <rFont val="Arial"/>
        <family val="2"/>
        <scheme val="minor"/>
      </rPr>
      <t xml:space="preserve">
Mapping outlining areas the Jabree CHMP and Danggan Balun Partial Clearance Report apply to will be included as part of the Project </t>
    </r>
    <r>
      <rPr>
        <sz val="9"/>
        <color rgb="FFFF0000"/>
        <rFont val="Arial (Body)"/>
      </rPr>
      <t>Environmental Sensitivities Control Maps.</t>
    </r>
  </si>
  <si>
    <t>Noted</t>
  </si>
  <si>
    <r>
      <t xml:space="preserve">Project Works </t>
    </r>
    <r>
      <rPr>
        <sz val="9"/>
        <rFont val="Arial"/>
        <family val="2"/>
        <scheme val="minor"/>
      </rPr>
      <t>means all activities to be carried out to complete the construction of the Project on the Project Area, including but not limited to:
- light maintenance roads;
- heavy maintenance roads; 
- separate overhead crane to span the light maintenance roads;
- wheel lathe and bogie drop;
- graffiti cleaning road;
- heavy and light spares storage facility;
- through road, access roads and test road;</t>
    </r>
    <r>
      <rPr>
        <b/>
        <sz val="9"/>
        <rFont val="Arial"/>
        <family val="2"/>
        <scheme val="minor"/>
      </rPr>
      <t xml:space="preserve">
</t>
    </r>
    <r>
      <rPr>
        <sz val="9"/>
        <rFont val="Arial"/>
        <family val="2"/>
        <scheme val="minor"/>
      </rPr>
      <t>- sand silo;
- lay down and parking areas;
- ETCS / PSD interface testing facilities;
- offices, stores and staff facilities to support maintenance operations on the site;
- stabling facilities for twenty-six car train sets;
- facilities for train drivers and cleaners at the stabling facility;
- train wash;
- rail network connection;
- a construction camp, offices, temporary construction facilities; and
- ground excavation and vegetation clearing.</t>
    </r>
  </si>
  <si>
    <r>
      <rPr>
        <b/>
        <sz val="9"/>
        <rFont val="Arial"/>
        <family val="2"/>
        <scheme val="minor"/>
      </rPr>
      <t>6.1 Cultural Heritage Assessments</t>
    </r>
    <r>
      <rPr>
        <sz val="9"/>
        <rFont val="Arial"/>
        <family val="2"/>
        <scheme val="minor"/>
      </rPr>
      <t xml:space="preserve">
(a) Except in the case of a significant or substantial Find under clause 6.5 or as otherwise agreed, the parties agree that the Project Area will be sufficiently investigated by the Cultural Heritage Assessments and that no further cultural heritage surveys or reports are requirement for the Project Area. 
(b) Prior to commencing Project Works on the Southern Access Area, the State agrees to implement, as well as the Mitigation Measures, all other reasonable recommendations as set out in the </t>
    </r>
    <r>
      <rPr>
        <sz val="9"/>
        <color rgb="FFFF0000"/>
        <rFont val="Arial (Body)"/>
      </rPr>
      <t>Southern Access Area Cultural Heritage Field Assessment Report.</t>
    </r>
    <r>
      <rPr>
        <sz val="9"/>
        <rFont val="Arial"/>
        <family val="2"/>
        <scheme val="minor"/>
      </rPr>
      <t xml:space="preserve"> </t>
    </r>
  </si>
  <si>
    <t>Cultural Heritage Management Plan - Jabree Ltd - Section 6 Mitigation Measures</t>
  </si>
  <si>
    <r>
      <rPr>
        <b/>
        <sz val="9"/>
        <rFont val="Arial"/>
        <family val="2"/>
        <scheme val="minor"/>
      </rPr>
      <t>6.2 Exclusion Zone</t>
    </r>
    <r>
      <rPr>
        <sz val="9"/>
        <rFont val="Arial"/>
        <family val="2"/>
        <scheme val="minor"/>
      </rPr>
      <t xml:space="preserve">
(a) Subject to clause 6.2(c), the parties agree that Project Works must not be conducted in the Exclusion Zone. 
(b) The State must ensure that the Contractor complies with clause 6.2(a) and that prior to the commencement of the Project Works constructs an Exclusion Zone Fence around the Exclusion Zone.
(c) Should the Contractor wish to access the Exclusion Zone to conduct low impact Project Works such as surveying or other works that do not involve ground disturbance, the State Cultural Heritage Representative must obtain the approval of the Cultural Heritage Coordinator before accessing the Exclusion Zone. </t>
    </r>
  </si>
  <si>
    <r>
      <t xml:space="preserve">Mapping outlining areas the Jabree CHMP and Danggan Balun Partial Clearance Report apply to will be included as part of the Project </t>
    </r>
    <r>
      <rPr>
        <sz val="9"/>
        <color rgb="FFFF0000"/>
        <rFont val="Arial (Body)"/>
      </rPr>
      <t>Environmental Sensitivities Control Maps.</t>
    </r>
    <r>
      <rPr>
        <sz val="9"/>
        <rFont val="Arial"/>
        <family val="2"/>
        <scheme val="minor"/>
      </rPr>
      <t xml:space="preserve">
The exclusion zone, as detailed in Schedules 2 and 3 of the Jabree CHMP, will be physically fenced and cannot be entered into without express permission from Jabree Ltd (CEMP, Annex H Heritage Management Programme, Section 7.2 Jabree).
</t>
    </r>
    <r>
      <rPr>
        <sz val="9"/>
        <color theme="1"/>
        <rFont val="Arial"/>
        <family val="2"/>
        <scheme val="minor"/>
      </rPr>
      <t xml:space="preserve">
</t>
    </r>
    <r>
      <rPr>
        <sz val="9"/>
        <color theme="1"/>
        <rFont val="Arial (Body)"/>
      </rPr>
      <t xml:space="preserve">All DTI Workers involved with ground disturbing works will attend the project Cultural Heritage Induction including controls for the exclusion and buffer zones. </t>
    </r>
  </si>
  <si>
    <t>Project Manager 
Environmental and Sustainability Team</t>
  </si>
  <si>
    <r>
      <rPr>
        <b/>
        <sz val="9"/>
        <rFont val="Arial"/>
        <family val="2"/>
        <scheme val="minor"/>
      </rPr>
      <t>6.3 Buffer Zone</t>
    </r>
    <r>
      <rPr>
        <sz val="9"/>
        <rFont val="Arial"/>
        <family val="2"/>
        <scheme val="minor"/>
      </rPr>
      <t xml:space="preserve">
The parties agree that Project Works can take place within the Buffer Zone, but additional caution must be exercised in this area to avoid any disturbance to the Exclusion Zone.</t>
    </r>
  </si>
  <si>
    <r>
      <rPr>
        <b/>
        <sz val="9"/>
        <rFont val="Arial"/>
        <family val="2"/>
        <scheme val="minor"/>
      </rPr>
      <t>6.4 Cultural Heritage Induction</t>
    </r>
    <r>
      <rPr>
        <sz val="9"/>
        <rFont val="Arial"/>
        <family val="2"/>
        <scheme val="minor"/>
      </rPr>
      <t xml:space="preserve">
(a) Prior to the commencement of Project Works, Key Staff must attend the Cultural Heritage Induction and complete the Jabree Online Induction.
(b) The Cultural Heritage Induction will include the following information:
(i) the State standard cultural heritage induction presentation; and 
(ii) a brief outline of the responsibilities contained in this CHMP.
(c) The Contractor must ensure that the Jabree Online Induction is given to any on-site staff whose role includes undertaking Project Works, before those staff undertake Project Works.
(d) The State will pay Jabree for the agreed cost of Jabree's production of the Jabree Online Induction, calculated in accordance with the Relationship Agreement.
(e) Following the presentation of the Cultural Heritage Induction, it will be the responsibility of the Contractor's Workplace Health and Safety Officer (or equivalent as nominated by the Contractor), to present a Cultural Heritage component to all staff and sub-contractors are part of the Project On-Site Safety Induction in accordance with the requirements of MRTS51.
(f) If, except for reasons outside of the control of the Aboriginal Part, the Jabree Online Induction is not provided to the State in a timely way prior to the commencement of Project Works, the parties agree that Project Works may proceed provided that this CHMP is otherwise complied with.</t>
    </r>
  </si>
  <si>
    <t>Cultural Heritage Induction for Contractors requirements addressed in Annex H Heritage Management Programme, Section 7.2 Jabree of the CEMP.</t>
  </si>
  <si>
    <r>
      <rPr>
        <b/>
        <sz val="9"/>
        <rFont val="Arial"/>
        <family val="2"/>
        <scheme val="minor"/>
      </rPr>
      <t>6.5 Finds Procedure</t>
    </r>
    <r>
      <rPr>
        <sz val="9"/>
        <rFont val="Arial"/>
        <family val="2"/>
        <scheme val="minor"/>
      </rPr>
      <t xml:space="preserve">
(a) If, during Project Works, there a Find is made of a significant and/or substantial nature Project Works should cease immediately in the vicinity of the Find and the Cultural Heritage Coordinator should be contacted immediately to provide advice and to negotiate further works by way of mitigation.
(b) A significant and/or substantial find is considered to be a find that is over and above what has already been discovered within the Project Area.</t>
    </r>
  </si>
  <si>
    <t>Aboriginal Objects Finds Procedure addressed in Annex H Heritage Management Programme, Section 7.2 Jabree of the CEMP.</t>
  </si>
  <si>
    <t xml:space="preserve">Project Manager
Environmental and Sustainability Team
All DTI Workers </t>
  </si>
  <si>
    <t>Schedule 4: Procedure for Suspected Human Remains</t>
  </si>
  <si>
    <t>Cultural Heritage Management Plan - Jabree Ltd - Schedule 4 Procedure for Suspected Human Remains</t>
  </si>
  <si>
    <t>Aboriginal Human Remains requirements addressed in Annex H Heritage Management Programme, Section 7.2 Jabree of the CEMP.</t>
  </si>
  <si>
    <t>This assessment applies to the waterways contained within the Project Area and Access Area, those being Halfway Creek and Bridge Creek (Figure 1). These creeks fall within the Danggan Balun (Five Rivers) Native Title Claim Area.</t>
  </si>
  <si>
    <t>Partial Clearance Report - Danggan Balun - Introduction</t>
  </si>
  <si>
    <r>
      <t xml:space="preserve">Mapping clearing outlining areas the Jabree CHMP and Danggan Balun Partial Clearance Report apply to will be included as part of the Project </t>
    </r>
    <r>
      <rPr>
        <sz val="9"/>
        <color rgb="FFFF0000"/>
        <rFont val="Arial (Body)"/>
      </rPr>
      <t>Environmental Sensitivities Control Maps</t>
    </r>
  </si>
  <si>
    <r>
      <rPr>
        <b/>
        <sz val="9"/>
        <rFont val="Arial"/>
        <family val="2"/>
        <scheme val="minor"/>
      </rPr>
      <t xml:space="preserve">Recommendation 1: Cultural Heritage Monitoring at Halfway Creek and Bridge Creek
</t>
    </r>
    <r>
      <rPr>
        <sz val="9"/>
        <rFont val="Arial"/>
        <family val="2"/>
        <scheme val="minor"/>
      </rPr>
      <t>In order to mitigate any harm to potential Aboriginal cultural heritage within the Study Areas, it is recommended that two Danggan Balun representatives are engaged as Cultural Heritage Monitors to observe any ground disturbing works undertaken in the Study Areas, including the development of any causeways and permanent roads across Halfway Creek and Bridge Creek (Figure 3). 
Monitoring of these areas will mitigate harm to any potential surface and subsurface cultural heritage that is considered likely to exist given the results of the archaeological modelling and survey findings. 
Any Aboriginal cultural heritage identified during this monitoring phase will be recorded and salvaged to an agreed Keeping Place outside the project boundaries.</t>
    </r>
  </si>
  <si>
    <t>Partial Clearance Report - Danggan Balun - Ongoing Recommendations</t>
  </si>
  <si>
    <t>Cultural Heritage Monitoring requirements addressed in Annex H Heritage Management Programme, Section 7.2 Jabree of the CEMP.</t>
  </si>
  <si>
    <t>Project Manager
Environmental and Sustainability Team</t>
  </si>
  <si>
    <r>
      <rPr>
        <b/>
        <sz val="9"/>
        <rFont val="Arial"/>
        <family val="2"/>
        <scheme val="minor"/>
      </rPr>
      <t>Recommendation 2: Avoidance of Mature Trees</t>
    </r>
    <r>
      <rPr>
        <sz val="9"/>
        <rFont val="Arial"/>
        <family val="2"/>
        <scheme val="minor"/>
      </rPr>
      <t xml:space="preserve">
All reasonable efforts should be made to preserve the mature vegetation within the Study Areas. The environmental values observed within the Study Areas are of cultural importance to the Danggan Balun People.</t>
    </r>
  </si>
  <si>
    <t>Avoidance of Mature Trees requirements addressed in Annex H Heritage Management Programme, Section 7.2 Jabree of the CEMP.</t>
  </si>
  <si>
    <t>Project Manager
Construction Manager
Environmental and Sustainability Team</t>
  </si>
  <si>
    <r>
      <rPr>
        <b/>
        <sz val="9"/>
        <rFont val="Arial"/>
        <family val="2"/>
        <scheme val="minor"/>
      </rPr>
      <t>Recommendation 3: Cultural Heritage Induction for Contractors</t>
    </r>
    <r>
      <rPr>
        <sz val="9"/>
        <rFont val="Arial"/>
        <family val="2"/>
        <scheme val="minor"/>
      </rPr>
      <t xml:space="preserve">
Cultural Heritage Inductions deal with the physical heritage that may be encountered within the Study Areas. The implementation of this Cultural Heritage Induction procedure aims to avoid further harm to Aboriginal cultural heritage. It is recommended that all relevant staff and contractors undertake a Cultural Heritage Induction, with input from the Danggan Balun People, prior to construction activities. The agreed upon induction will cover cultural awareness, the basic legislative requirements regarding the Aboriginal
Cultural Heritage Act 2003 (Qld), the basic principles of identifying Aboriginal Cultural Heritage and appropriate protocols for the management of finds and human remains. The induction should also be delivered to contractors involved with ground disturbing works in the Study Areas.
If this cultural heritage induction for contractors is required before the quoted Cultural Heritage Induction Video is completed, an alternative cultural heritage induction is able to be organised between Danggan Balun and TMR.</t>
    </r>
  </si>
  <si>
    <r>
      <rPr>
        <b/>
        <sz val="9"/>
        <rFont val="Arial"/>
        <family val="2"/>
        <scheme val="minor"/>
      </rPr>
      <t>Recommendation 4: Aboriginal Objects Finds Procedure</t>
    </r>
    <r>
      <rPr>
        <sz val="9"/>
        <rFont val="Arial"/>
        <family val="2"/>
        <scheme val="minor"/>
      </rPr>
      <t xml:space="preserve">
If suspected Aboriginal cultural material is uncovered as a result of proposed works, TMR must adhere to their “Find-Stop-Notify-Manage” procedure. This procedure ensures that Aboriginal cultural material is handled appropriately, if uncovered as a result of proposed works. As per the procedure, if cultural materials are uncovered in the Study Area, the materials should not be disturbed, and the Danggan Balun People should be notified immediately. The GPS location of the material is to be recorded at the time of discovery, and if required, an appropriately qualified archaeologist and a Danggan Balun People
Representative is to be engaged to further investigate and document the material in accordance with the relevant legislation.</t>
    </r>
  </si>
  <si>
    <r>
      <rPr>
        <b/>
        <sz val="9"/>
        <rFont val="Arial"/>
        <family val="2"/>
        <scheme val="minor"/>
      </rPr>
      <t>Recommendation 5: Aboriginal Human Remains</t>
    </r>
    <r>
      <rPr>
        <sz val="9"/>
        <rFont val="Arial"/>
        <family val="2"/>
        <scheme val="minor"/>
      </rPr>
      <t xml:space="preserve">
It is highly unlikely that human remains will be located at any stage during works within the Study Area. If human remains are identified, all works must halt in the immediate area to prevent any further impacts to the remains and TMR must adhere to their “How to manage the discovery of Human Remains” procedure. As per the procedure, the site should be cordoned off and the remains themselves should be left untouched. The nearest police station and DSDSATSIP are all to be notified as soon as possible. If the human remains are found to be of Aboriginal origin and the police do not wish to investigate the site for criminal activities, the Danggan Balun People should be consulted as to how the remains should be dealt with. Work may only resume after agreement is reached between all notified parties, provided it is in accordance with all parties’ statutory obligations. It is also recommended that in all dealings with Aboriginal human remains, the Proponent should use respectful language, bearing in mind that they are the remains of Aboriginal People rather than scientific specimens.
</t>
    </r>
  </si>
  <si>
    <t>?)</t>
  </si>
  <si>
    <t>Riverine protection permit exemption requirements - Section 3.1 Vegetation clearing requirements</t>
  </si>
  <si>
    <r>
      <t xml:space="preserve">To ensure excavation and placement of fill carried out by landowners using the exemption requirements is low risk, volumetric limits apply. Table 2  states the volumetric limits.
</t>
    </r>
    <r>
      <rPr>
        <i/>
        <sz val="9"/>
        <rFont val="Arial"/>
        <family val="2"/>
        <scheme val="minor"/>
      </rPr>
      <t>Table 2 Volumetric limits for landowners
Excavation: is the volume you plan to excavate 500 cubic metres or less?
Placement of fill: is the volume of fill you plan to place 150 cubic metres of less?</t>
    </r>
  </si>
  <si>
    <t>Riverine protection permit exemption requirements - Section 3.2 Volumetric limits for landowners</t>
  </si>
  <si>
    <t>The minimum requirements outlined below must be achieved to be eligible for an exemption from having to apply for and obtain a riverine protection permit.
- The extent of the area required to carry out the permitted activity must be limited to the minimum area necessary to reasonably carry out the works.
- Sediment and erosion controls must be used.
- All areas of disturbed bed and banks must be stabilised to protect against erosion.
- All fill placed must be free from contamination (e.g. weeds seeds, oils, chemicals and other contaminants).
- Disturbed banks must be returned to a profile similar to the pre-disturbance condition.
- Natural stream bed controls or features that create natural waterholes (e.g. riffles, logs, sediment or rock bars) must not be lowered or removed.
- Any excavated material that is not removed as waste must be spread evenly within the bed and banks of the watercourse so that it does not interfere with the flow of water.
- All fill placed in the bed of the stream must not redirect flow into an adjacent bank.
- Access tracks or crossings must not interfere with the low flow of water.
- The invert of culverts or the deck height of a splash through crossing must be placed at or below bed level.
- All culverts placed within the watercourse must be aligned with the stream channel and placed as close to the centre of the watercourse channel as practical.
- All culverts placed within the watercourse must be of a sufficient size to ensure uninterrupted low flows and minimise the occurrence of blockage of culverts caused by flood-borne debris.
- Constructed access tracks (e.g. culverts or splash through crossings) must be provided with a scour apron and cut off wall on the downstream side sufficient to prevent bed erosion.
- All disturbed areas must be revegetated with trees, shrub and grasses endemic to the area, sufficient to re-establish a riparian environment and protect bed and banks from erosion.</t>
  </si>
  <si>
    <t>Riverine protection permit exemption requirements - Section 4.0 Minimum requirements</t>
  </si>
  <si>
    <t>The Builder must:
(a) comply with all Environmental Applicable Requirements, and ensure the Builder Activities are carried out in a sustainable manner;
(b) take all reasonable and practicable measures to prevent or minimise harm to the Environment in the performance of the Builder Activities;
(c) subject to clause 24.6 (Contamination) and clause 24.6A (Disposal of PFAS Contaminated materials), promptly remedy any harm to the Environment arising out of or in connection with the performance of the Builder Activities;
(d) subject to clause 24.6 (Contamination) and clause 24.6A (Disposal of PFAS Contaminated materials), promptly remove from the Depot Site, the Ormeau Stabling Site and any other locations at which the Builder Activities are carried out or deal with, at the Builder’s cost, all waste, Contamination and debris resulting from, or arising out of or in connection with, performance of the Builder Activities, including removing or eliminating the cause of Contamination and any Contaminated material or substance;
(e) if an Environmental Incident occurs in connection with the Builder Activities:
(i) immediately report the Environmental Incident to the Contractor;
(ii) investigate the Environmental Incident;
(iii) advise the Contractor in writing of the outcome of the Builder’s investigation, including actions to be taken to remedy any damage to the Environment and prevent recurrence of the Environmental Incident; and
(iv) subject to clause 24.6 (Contamination) and clause 24.6A (Disposal of PFAS Contaminated Materials), at its cost, promptly take all reasonable steps to remedy any damage to the Environment (including clean up) and prevent recurrence of the Environmental Incident; and
(f) prepare, implement, maintain, update and comply with an Environmental Management System and the Environmental Management Plans (as applicable) in accordance with clause 14.1 (Preparation and implementation by the Contractor of Management Systems and Management Plans) and Schedule A5 (Management Systems (Builder) and Management Plans (Builder)).</t>
  </si>
  <si>
    <t>Subcontract for Ormeau Facility - Part A Preliminary Matters - Section 10 Environmental Incidents and Contamination</t>
  </si>
  <si>
    <t>Addressed in EMP and CEMP in the following sections:
- Section 3 Project Management Framework;
- Section 6.3 Standards and Legislation;
- Section 8 Environmental Management Overview; and
- Section 12 Performance Management, Reporting and Investigation.</t>
  </si>
  <si>
    <r>
      <t xml:space="preserve">The Construction Environmental Management Plan - Ormeau Facility must describe how the Builder will ensure the delivery of Ormeau Facility Works meets environmental regulatory and policy requirements, and must address:
(a) how it will comply with the legislative and policy requirements including:
(i) any development conditions;
(ii) Commonwealth legislation;
(iii) State legislation;
</t>
    </r>
    <r>
      <rPr>
        <sz val="9"/>
        <color rgb="FFFF0000"/>
        <rFont val="Arial (Body)"/>
      </rPr>
      <t xml:space="preserve">(iv) Queensland Rail: Contractor Safety and Environment Management – MD-12-164; and
</t>
    </r>
    <r>
      <rPr>
        <sz val="9"/>
        <rFont val="Arial"/>
        <family val="2"/>
        <scheme val="minor"/>
      </rPr>
      <t>(v) Environmental Processes Manual (Transport and Main Roads, August 2013);</t>
    </r>
  </si>
  <si>
    <t>Schedule A5 Management Systems and Management Plans - Section 2.11 Construction Environmental Management Plan - Ormeau Facility</t>
  </si>
  <si>
    <t xml:space="preserve">Addressed in Section 6 Standards and Legislation and Section 8.1 Objectives and Targets of the CEMP. </t>
  </si>
  <si>
    <t>(b) the Builder’s approach to the management of environmental issues during the delivery of the Ormeau Facility Works including:
(i) environmental outcomes;
(ii) performance criteria;
(iii) mitigation measures;
(iv) monitoring;
(v) reporting; and
(vi) corrective actions;</t>
  </si>
  <si>
    <t xml:space="preserve">Section 8 Construction Environmental Management Overview of the CEMP outlines the contents of each of the Environmental Management Programmes (Annexure C to Annexure M). </t>
  </si>
  <si>
    <t>(c) how the Builder will ensure appropriate environmental management measures and controls are implemented during the delivery of the Ormeau Facility Works including:
(i) implementation of Environmental Management Systems in accordance with the principles of AS/NZS ISO 14000 Environmental Management Standards; and
(ii) qualifications, experience, responsibilities, accountabilities and authorities for each construction environmental management role.</t>
  </si>
  <si>
    <t>Addressed in Section 6.3 Guidelines and Standards and Annex A of the CEMP.</t>
  </si>
  <si>
    <t>(a) The Environmental Management System must:
(i) be consistent with AS/NZS ISO 14001:2004 Environmental Management Systems – Requirements with Guidance for Use and any subsequent Industry Standards;
(ii) demonstrate how environmental matters will be managed in a planned, systematic, effective and documented manner;
(iii) incorporate appropriate compliance, audit and verification processes;
(iv) provide for appropriate procedures and processes to identify, assess, control and minimise environmental risks arising from the Builder Activities; and
(v) provide for monitoring and reporting of environmental performance, including compliance, to drive continual improvement.</t>
  </si>
  <si>
    <t>Schedule A5 Management Systems and Management Plans - Section 2.20 Environmental Management System</t>
  </si>
  <si>
    <t>Addressed in Section 6 Standards and Legislation and Section 8 Construction Environmental Management Overview of the EMP and CEMP. 
DTI operates a certified environmental management system in compliance with ISO 14001:2015.</t>
  </si>
  <si>
    <t>(a) The Builder must prepare an Environmental Management Plan ("EMP") addressing Ormeau Facility Works. The requirements for this plan are set out in paragraph 2.24.
(b) The initial draft of the EMP as at the date of this deed is included in Schedule A17 (Management Plans (Builder)).</t>
  </si>
  <si>
    <t>Schedule A5 Management Systems and Management Plans - Section 2.21 Environmental Management Plan</t>
  </si>
  <si>
    <t>Noted - see below</t>
  </si>
  <si>
    <t>The EMP – Ormeau Facility must address all aspects of the design and construction of the Ormeau Facility and must:
(a) be consistent with the Builder’s Environmental Management System;
(b) address how the Builder will ensure compliance with Environmental Applicable Requirements and the Environmental Management System in the performance of the Builder Activities;
(c) identify employees and officers responsible for management of Environmental issues;
(d) describe relevant training processes implemented by the Builder and its Subcontractors to ensure compliance with Environmental Applicable Requirements and the Environmental Management System;
(e) describe the Builder’s systems for monitoring and reporting on Environmental Incidents and potential Environmental Incidents; and
(f) describe how the Builder will manage and maintain records and information relating to compliance with Environmental Applicable Requirements in the performance of the Builder Activities.</t>
  </si>
  <si>
    <t>Schedule A5 Management Systems and Management Plans - Section 2.24 Environmental Management Plans - Ormeau Facility</t>
  </si>
  <si>
    <t>Addressed in EMP in the following sections:
- Section 6.3 Standards and Legislation;
- Section 8 Environmental Management Overview;
- Section 8.1 Objectives and Targets;
- Annex A Project Roles and Responsibilities;
- Section 9 Training and Awareness;
- Section 12 Performance Management, Reporting and Investigation; and
- Section 6.6 Compliance Tracking.</t>
  </si>
  <si>
    <t>2.2.1 The Contractor must ensure its workplace health, safety and environment processes and procedures for delivery of the Depot Works take into account the following SEMS:
(i) MD-13-320: Environmental Planning and Management (EPM) (Version 4.0); and
(ii) MD-15-315: Noise Management (Version 3.0) (including Specification MD-15-316: Noise Assessment
(Version 3.0), and Procedure MD-15-317: Noise Management (Version 3.0)).</t>
  </si>
  <si>
    <t>Schedule C1 Performance Specification (Ormeau Facility) - Section 2.2 Queensland Rail Limited standards, policies and specifications</t>
  </si>
  <si>
    <r>
      <rPr>
        <sz val="9"/>
        <color theme="1"/>
        <rFont val="Arial (Body)"/>
      </rPr>
      <t xml:space="preserve">Requirements from MD-13-320, </t>
    </r>
    <r>
      <rPr>
        <sz val="9"/>
        <color rgb="FFFF0000"/>
        <rFont val="Arial"/>
        <family val="2"/>
        <scheme val="minor"/>
      </rPr>
      <t>MD-15-315-317 included in this Compliance Register.</t>
    </r>
  </si>
  <si>
    <t>2.2.3 The Ormeau Stabling Works must be undertaken in accordance with the SEMS set out in Appendix 1 to this specification.</t>
  </si>
  <si>
    <t>Appendix 1 - Ormeau Stabling SEMS List
MD-15-3 Vegetation Management V1.1
MD-15-315 Noise Management (Environmental) Standard V3.0
ME-15-316 Noise and Vibration Assessment (Environment) V3.0
MD-15-317 Noise and Vibration Management (Environment) Procedure V3.0</t>
  </si>
  <si>
    <t>Schedule C1 Performance Specification (Ormeau Facility) - Appendix 1</t>
  </si>
  <si>
    <t>4.3.1 Environmental management must take into account the requirements of Queensland Rail Framework MD-13-320: Environmental Planning and Management (EPM) and local council requirements.</t>
  </si>
  <si>
    <t>Schedule C1 Performance Specification (Ormeau Facility) - Section 4.3 Environment</t>
  </si>
  <si>
    <t>4.3.2 The Ormeau Facility and facility noise must have regards to the requirements of Queensland Rail Standard MD-15-315: Noise Management, Specification MD-15-316: Noise Assessment and Procedure MD-15-317: Noise Management and be compliant with the SEMS listed in Appendix 1 for Ormeau Stabling.</t>
  </si>
  <si>
    <t>4.3.3 The Contractor must ensure that the Ormeau Facility incorporates the best environmental practices that would be expected of a qualified and competent contractor, in accordance with Australian and international standards and other Applicable Requirements listed in Section 2 or Appendix 1 as applicable including the requirements of any Approvals (including development or planning approvals).</t>
  </si>
  <si>
    <t xml:space="preserve">Addressed in Section 6 Standards and Legislation and Section 8.1 Objectives and Targets of the EMP and CEMP. </t>
  </si>
  <si>
    <t>4.3.4 The Ormeau Facility must incorporate sustainability and environmental benefits including and as applicable, energy efficiency, prevention of pollution, water efficiency (e.g. rainwater harvesting, wastewater recycling and re use), resource efficiency and materials selection (including use of recyclable or recycled materials).</t>
  </si>
  <si>
    <t>Addressed in the Sustainability Management Plan.</t>
  </si>
  <si>
    <t>4.3.5 Where applicable, in particular for energy consumption, technology to facilitate monitoring of consumption should be integrated into the Ormeau Facility.</t>
  </si>
  <si>
    <t>4.3.6 Further, suitable pollution prevention/treatment plant and equipment must be installed at each of the Depot and the Ormeau Stabling (i.e. the Depot and Ormeau Stabling are to have separate facilities and must be able to meet water quality objectives independent of the other).</t>
  </si>
  <si>
    <t xml:space="preserve">As outlined in Section 8.8 Engineering and Design Management of the CEMP, the Environmental and Sustainability Team engages with the engineering and design team, through the project Engineering Manager to confirm:
- The inclusion of the environment and sustainability requirements from the contract, approvals and permits, using DTI-DM-TP053 Requirements Analysis and Traceability Matrix (RATM) or equivalent; and
- Environmental impacts identified in risk and opportunity review workshops are systematically addressed through the engineering and design phase. </t>
  </si>
  <si>
    <t>Environmental and Sustainability Team
Engineering and Design Team</t>
  </si>
  <si>
    <t>4.3.7 The Contractor must ensure the Ormeau Facility Works:
(a) provides for the suitable protection and/or management of the Ormeau Facility Site’s environmental values including, native flora and fauna, waterways and soils;
(b) minimise impacts to the adjacent community; and
(c) sewage, water and drainage connections to the existing network are approved by the relevant Council or Water and Sewage entity.</t>
  </si>
  <si>
    <t xml:space="preserve">Section 8 Construction Environmental Management Overview of the CEMP outlines the contents of each of the Environmental Management Programmes (Annexure C to Annexure M). 
As outlined in Section 8.8 Engineering and Design Management of the CEMP, the Environmental and Sustainability Team engages with the engineering and design team, through the project Engineering Manager to confirm:
- The inclusion of the environment and sustainability requirements from the contract, approvals and permits, using DTI-DM-TP053 Requirements Analysis and Traceability Matrix (RATM) or equivalent; and
- Environmental impacts identified in risk and opportunity review workshops are systematically addressed through the engineering and design phase. </t>
  </si>
  <si>
    <t>4.3.8 The Ormeau Facility must be designed and constructed to be a minimum of 300mm above the 1% Annual Exceedance Probability (AEP) flood event, inclusive of climate change:
(a) as defined in Australian Rainfall and Runoff 2019 – A Guide to Flood Estimation, Commonwealth of Australia;
(b) in accordance with the Department of Environment &amp; Climate Change (DECC) Floodplain Risk Management Guideline – Practical Consideration of Climate Change, version 1 October 2007; and 
(c) in accordance with DECC’s Draft Seas Level Rise Policy Statement, February 2009.</t>
  </si>
  <si>
    <t xml:space="preserve">As outlined in Section 8.8 Engineering and Design Management of the CEMP, the Environmental Team engages with the engineering and design team, through the project Engineering Manager to confirm:
- The inclusion of the environment and sustainability requirements from the contract, approvals and permits, using DTI-DM-TP053 Requirements Analysis and Traceability Matrix (RATM) or equivalent; and
- Environmental impacts identified in risk and opportunity review workshops are systematically addressed through the engineering and design phase. </t>
  </si>
  <si>
    <t>4.3.9 For the flood immunity of the track, overtopping is measured at formation level.</t>
  </si>
  <si>
    <t>4.3.10 The design and construction of the Ormeau Facility must:
(a) not increase afflux by more than 10mm at any neighbouring habitable property for a 1% AEP event; (Note: The area depicted in Figure 28-1: Non-habitable property in Civil and Drainage section 3 (d) in 5.2.2 – Ormeau Facility Site Layout Proposal of Schedule C3 ((Contractor Proposal (Ormeau Facility)) of the Project Deed was not considered to be habitable property in the development of the design of the Ormeau Facility. The State will work with the Contractor and the City of Gold Coast City Council as required on this matter)
(b) not reduce the flood immunity or increase the flood hazard associated with any public road, rail or pedestrian asset;
(c) consider risks posed to neighbouring properties and emergency access/egress for events larger than the 1% AEP event to minimise unexpected or unacceptable impacts;
(d) consider all floodplain impacts outside of the Ormeau Facility including changing in peak velocity, time of inundation, flood flow distribution, and flood hazard to minimise unexpected or unacceptable impacts; and
(e) not worsen the existing flooding characteristics of the Woongoolba Flood Mitigation Scheme.
(Note: The flood data provided by City of Gold Coast Council including, but not limited to:
(i) Woongoolba_URBS_v2016_2100_MFlood;
(ii) Woongoolba MIKE Flood v2016c;
(iii) Draft PimpSandy_URBS_v2.1.5;
(iv) Draft LoganAlbert_URBS_v2.1.5;
(v) Draft Logan_AlbertTUFLOW_v2.3.5a_2020; and
(vi) Draft Logan_AlbertTUFLOW_v2.3.6a_2100.)</t>
  </si>
  <si>
    <t>4.4.1 The Ormeau Facility must achieve an Infrastructure Sustainability Council of Australia (ISCA) technical manual version 1.2 – 2016 rating of ‘Excellent’, which requires a minimum of 65 points to be achieved.</t>
  </si>
  <si>
    <t>Schedule C1 Performance Specification (Ormeau Facility) - Section 4.4 Infrastructure Sustainability (IS) Rating</t>
  </si>
  <si>
    <t>4.4.2 Registration for Infrastructure Sustainability Council of Australia (ISCA) must be undertaken at the System Definition Review Design Stage.</t>
  </si>
  <si>
    <t>4.4.3 Regarding the IS Design rating, all design works must achieve a minimum ‘Excellent’ design rating and must be submitted for verification with the ISCA.</t>
  </si>
  <si>
    <t>4.4.4 The design rating must be formally submitted to ISCA for round 1 review prior to the completion of the Detailed Design Review Design Stage.</t>
  </si>
  <si>
    <t>4.4.5 Regarding the As Built v1.2 rating, an ‘As Built’ rating must be achieved within 6 months of the Test Readiness Review Design Stage and prior to completion of the System Verification Review Design Stage. All documentation that will assist the Contractor to achieve an IS Rating must also be submitted to the State.</t>
  </si>
  <si>
    <t>4.11.1 The Contractor must obtain all Contractor Approvals required to facilitate the Ormeau Facility Works.</t>
  </si>
  <si>
    <t>Schedule C1 Performance Specification (Ormeau Facility) - Section 4.11 Site establishment and approvals</t>
  </si>
  <si>
    <t>Addressed Section 6.2 Legislation, Standards and Regulations of the CEMP.</t>
  </si>
  <si>
    <r>
      <t xml:space="preserve">4.11.2 The Contractor must:
(a) provide, maintain and service, decommission and rehabilitate all temporary site facilities including offices, amenities and crib facilities at the Ormeau Facility Site required to deliver the Ormeau Facility Works;
(b) undertake and provide any mobilisation activities, temporary works and site establishment works to allow for the safe and efficient operation of the Ormeau Facility Works;
(c) secure the Ormeau Facility Site through necessary means to prevent unintended public access;
(d) install and maintain the temporary fencing and hoardings on the Ormeau Facility Site boundaries, road boundaries and at other locations as necessary to provide for safety and security in the performance of the Ormeau Facility Works and to prevent motorist distraction. The fences and hoardings must be erected prior to work commencing in the affected areas;
(e) construct any necessary temporary laydown, vehicle parking and equipment storage areas to support the Ormeau Facility Works;
(f) provide secure storage for safety equipment, construction, maintenance and repair plant and material as required to fulfil the obligations of the Project Deed, this specification, and the Technical Requirements;
(g) establish any on-site maintenance facilities and workshops as required to service and support the construction plant and equipment, including any fuel or oil storage compounds;
</t>
    </r>
    <r>
      <rPr>
        <u/>
        <sz val="9"/>
        <rFont val="Arial (Body)"/>
      </rPr>
      <t>(h) maintain the Ormeau Facility Site and any other construction site in a clean and tidy manner throughout the Ormeau Facility Works. The extended storage of rubbish or loose items on the Ormeau Facility Works or elsewhere is not permitted; and
(i) locate site sheds at locations and positions that minimise the impact on Adjoining Land to the Ormeau Facility Site.</t>
    </r>
  </si>
  <si>
    <t>Development
− ensure that any environmental assessments, including sustainability or climate change risk assessments, as deemed necessary are fully completed prior to the commencement of the Works are undertaken
− identify the key Environmental Stakeholder interests for the Works
− identify and progress obtaining environmental permits and approvals, where applicable
− review and document (where applicable) how the preliminary and detailed design has responded to commitments and legal or other obligations, in particular, those commitments that form conditions under any statutory approval and/or have been made publicly or to regulators</t>
  </si>
  <si>
    <t>MD-13-320 (4.0) Environmental Planning and Management Framework - Section 2.1 Overview of the Environmental Planning and Management Framework</t>
  </si>
  <si>
    <t>Addressed in EMP in the following sections:
- Section 8.2 Environmental Risk Management;
- Section 6 Standards and Legislation;
- Annexure B Approvals Matrix; and
- Section 8.4 Engineering and Design Management.
Stakeholder management is covered in the Stakeholder and Communication Management Plan.</t>
  </si>
  <si>
    <t>Implementation
− ensure that a site/activity specific Works / Construction Environmental Management Plan (EMP) or equivalent is developed for the Works where deemed applicable
− review the Works / Construction EMP to ensure that adequate management strategies for all environmental risks, obligations and/or opportunities, including environmental efficiencies have been identified prior to commencement of Works
− ensure that all relevant environmental approvals are obtained prior to the commencement of site preparation and/or construction activities and any applicable updates to approvals and other obligations are documented throughout the Works
− ensure that environmental compliance inspections are carried out throughout the Works to monitor environmental performance (commensurate with Works risk)
− ensure the management and reporting of environmental incidents and/or non-compliances throughout the Works
− capture all relevant environmental data associated with the Works (if applicable).</t>
  </si>
  <si>
    <t>Addressed in CEMP in the following sections:
- Section 8 Construction Environmental Management Overview; 
- Section 6 Standards and Legislation;
- Section 11.1 Audit and Inspection; and
- Section 12 Performance Management, Reporting and Investigation.</t>
  </si>
  <si>
    <t>The following guiding principles shall be considered when managing vegetation in order to realise safe, efficient and reliable rail and network operations:
- Establish and maintain a risk based approach to vegetation management on the rail corridor.
- Minimise vegetation related interruptions to network availability, including energy supply.
- Adopt vegetation management practices which complement wildfire prevention strategies.
- Establish vegetation management practices which appropriately balance safety, reliability and costs, with community expectations and ecological values.
- Ensure maintenance of safe clearances between vegetation and electric traction infrastructure and other rail infrastructure.
- Ensure environmental issues including amenity, erosion, wildlife habitat and breeding places, weed spread and risk of wildfires are considered in vegetation management.
- Ensure all workers and contractors have the training, knowledge, skills and qualifications they need to undertake their work in a safe, effective, and environmentally responsible manner.
- Consider alternative options or techniques when proposing removal or pruning of vegetation whenever practicable.
- Comply with all relevant legislation, regulations, standards, codes and licences.</t>
  </si>
  <si>
    <t>MD-15-3 (1.2) Vegetation Management Standard - Section 2.4 Vegetation management guiding principles</t>
  </si>
  <si>
    <t>Noted - relevant to rehabilitation / landscaping plan</t>
  </si>
  <si>
    <t>The Biosecurity Act 2014 (Qld) establishes a General Biosecurity Obligation (GBO) on all persons who deals with a biosecurity matter (including invasive weeds). Under the GBO, Queensland Rail activities which pose a biosecurity risk must:
1) take all reasonable and practical steps to prevent or minimise each biosecurity risk
2) minimise the likelihood of causing a biosecurity event, and limit the consequences if such an event is caused
3) prevent or minimise the harmful effects a risk could have, and not do anything that might make any harmful effects worse.
Queensland Rail will manage invasive weeds within its property boundaries, using appropriate methods including chemical, physical and/or mechanical methods.</t>
  </si>
  <si>
    <t>MD-15-3 (1.2) Vegetation Management Standard - Section 2.11 Weed management</t>
  </si>
  <si>
    <t>Addressed in Annex E Biosecurity of the CEMP</t>
  </si>
  <si>
    <t>Revegetation projects should utilise plants native to the local area where practical and cognisant of the end land use. 
Landscaping projects for beautification particularly around buildings or precincts, should also consider native species.
Suitability of plant species must consider a range of matters inclusive of vegetation height, form and habit; potential leaf/ branch/ seed/ flower drop hazards; watering requirements; and general maintenance requirements. 
Fauna attraction should also be considered so as not to introduce an unnecessary environmental, safety or operational hazard. 
A qualified or experienced horticulturalist, landscape architect and/or botanist/ecologist can assist with species selection and design.</t>
  </si>
  <si>
    <t>MD-15-3 (1.2) Vegetation Management Standard - Section 2.12 Landscaping and revegetation</t>
  </si>
  <si>
    <t>Reporting Matrix</t>
  </si>
  <si>
    <t xml:space="preserve">MONTHLY
Monitoring data made available to TMR on a monthly basis </t>
  </si>
  <si>
    <t>MONTHLY
PFAS Monthly Compliance Report</t>
  </si>
  <si>
    <t>MONTHLY
CMP Monthly Audit Report</t>
  </si>
  <si>
    <t>MONTHLY
Compliance Register</t>
  </si>
  <si>
    <t>POST CONSTRUCTION
CMP Close Out Report</t>
  </si>
  <si>
    <t>Analytical data to demonstrate that material was reused correctly and in accordance with the CMP</t>
  </si>
  <si>
    <t>X</t>
  </si>
  <si>
    <t>Any document that was prepared or updated during the month including relevant construction methodologies</t>
  </si>
  <si>
    <t>CMP Monthly Audit template</t>
  </si>
  <si>
    <t>Community complaints or feedback received pertaining to Compliance Matters</t>
  </si>
  <si>
    <t>Construction activities undertaken in relation to the construction program and upcoming construction activities that may interact with low level concentrations of PFAS</t>
  </si>
  <si>
    <t>Details of any environmental incidents pertaining to Compliance Matters</t>
  </si>
  <si>
    <t>Details of any non-conformance reports pertaining to Compliance Matters, including any corrective and preventative measures taken and whether the compliance issues has been adequately resolved</t>
  </si>
  <si>
    <t>Details of inspections and audits undertaken and the outcome of the inspection and audits</t>
  </si>
  <si>
    <t>Foreman's daily site diary</t>
  </si>
  <si>
    <t>Geospatial coordinates in electronic format of any soil samples collected during soil testing data</t>
  </si>
  <si>
    <t>Maps and records of soil reuse in permanent works</t>
  </si>
  <si>
    <t>Monthly records of water volumes reused or released on the site</t>
  </si>
  <si>
    <t>PFAS waste tracking register</t>
  </si>
  <si>
    <t>Photographic evidence / logs of site works</t>
  </si>
  <si>
    <t>Progressive erosion and sediment control plans</t>
  </si>
  <si>
    <t>Quantity of water treated and reused on the project and where it was reused</t>
  </si>
  <si>
    <t>Records of soil reused on the Project</t>
  </si>
  <si>
    <t>Results of monitoring data and discussion on compliance</t>
  </si>
  <si>
    <t>Reviewed and updated Compliance Register</t>
  </si>
  <si>
    <t>Weekly Environmental Inspection Records</t>
  </si>
  <si>
    <t xml:space="preserve">	The project must report energy and greenhouse gas emissions in accordance with DTI-ZH-PR077.1 Sustainability Data Collection and Reporting Procedure</t>
  </si>
  <si>
    <t>National Greenhouse and Energy Reporting Act 2007</t>
  </si>
  <si>
    <t xml:space="preserve">	Cultural heritage management plans have been prepared for DTMR to provide for the recognition, protection and conservation of aboriginal cultural heritage as well as providing provisions for duty of care, assessment and permits.</t>
  </si>
  <si>
    <t>Aboriginal Cultural Heritage Act 2003</t>
  </si>
  <si>
    <t>General Biosecurity Obligation (GBO) requires DT Infrastructure to take reasonable and practical steps to prevent or minimise biosecurity risks.</t>
  </si>
  <si>
    <t>Biosecurity Act 2014</t>
  </si>
  <si>
    <t xml:space="preserve">	The project must be undertaken in accordance with the General Environmental Duty (GED): "A person must not carry out any activity that causes, or is likely to cause, environmental harm unless that person takes all reasonable and practicable measures to minimise the harm".</t>
  </si>
  <si>
    <t>Environmental Protection Act 1994</t>
  </si>
  <si>
    <t>The project must be undertaken in accordance with the Duty to Notify: all site personnel have a duty to notify if they become aware of an incident that may have caused or threatens serious or material environmental harm.</t>
  </si>
  <si>
    <t>Soil disposal permit</t>
  </si>
  <si>
    <r>
      <rPr>
        <sz val="9"/>
        <color theme="1"/>
        <rFont val="Arial (Body)"/>
      </rPr>
      <t xml:space="preserve">All works within waterways mapped under the Queensland
waterways for waterway barrier works spatial data layer
must:
</t>
    </r>
    <r>
      <rPr>
        <sz val="9"/>
        <color rgb="FFFF0000"/>
        <rFont val="Arial"/>
        <family val="2"/>
        <scheme val="minor"/>
      </rPr>
      <t xml:space="preserve">- Meet the What is not a waterway barrier work DAF factsheet;
</t>
    </r>
    <r>
      <rPr>
        <sz val="9"/>
        <color theme="1"/>
        <rFont val="Arial"/>
        <family val="2"/>
        <scheme val="minor"/>
      </rPr>
      <t xml:space="preserve">- Meet the </t>
    </r>
    <r>
      <rPr>
        <u/>
        <sz val="9"/>
        <color theme="1"/>
        <rFont val="Arial (Body)"/>
      </rPr>
      <t>Accepted development requirements for operational work that is constructing or raising waterway barrier works</t>
    </r>
    <r>
      <rPr>
        <sz val="9"/>
        <color theme="1"/>
        <rFont val="Arial (Body)"/>
      </rPr>
      <t>; or</t>
    </r>
    <r>
      <rPr>
        <sz val="9"/>
        <color theme="1"/>
        <rFont val="Arial"/>
        <family val="2"/>
        <scheme val="minor"/>
      </rPr>
      <t xml:space="preserve">
- Be carried out under a Development Approval for
operational work for constructing or raising waterway
barrier works.</t>
    </r>
  </si>
  <si>
    <t>Fisheries Act 1994</t>
  </si>
  <si>
    <t>All works that involve removal, destruction, or damage of marine plants must:
- Meet the Accepted development requirements for operational works that is the removal, destruction or damage of marine plants; or
- Be carried out under a Development Approval for operational work for removal, destruction, or damage of marine plants.</t>
  </si>
  <si>
    <r>
      <t xml:space="preserve">All works carried out in, on, or above tidal land must:
- Meet the </t>
    </r>
    <r>
      <rPr>
        <u/>
        <sz val="9"/>
        <color theme="1"/>
        <rFont val="Arial (Body)"/>
      </rPr>
      <t>Code for accepted development for tidal works, or work completely or partly in a coastal management district</t>
    </r>
    <r>
      <rPr>
        <sz val="9"/>
        <color theme="1"/>
        <rFont val="Arial (Body)"/>
      </rPr>
      <t>; or
- Be carried out under a Development Approval for operational work for tidal work.</t>
    </r>
  </si>
  <si>
    <t>Coastal Protection and Management Regulation 2017</t>
  </si>
  <si>
    <t>Regulates impacts on plants and animals through the protected plants framework and species management program requirements. 
Compliance with generic TMR SMPs (based on Least Concern species)</t>
  </si>
  <si>
    <r>
      <rPr>
        <i/>
        <sz val="9"/>
        <rFont val="Arial"/>
        <family val="2"/>
        <scheme val="minor"/>
      </rPr>
      <t>Nature Conservation Act 1992</t>
    </r>
    <r>
      <rPr>
        <i/>
        <sz val="9"/>
        <color theme="1"/>
        <rFont val="Arial"/>
        <family val="2"/>
        <scheme val="minor"/>
      </rPr>
      <t xml:space="preserve"> 
</t>
    </r>
    <r>
      <rPr>
        <sz val="9"/>
        <color theme="1"/>
        <rFont val="Arial"/>
        <family val="2"/>
        <scheme val="minor"/>
      </rPr>
      <t>Nature Conservation (Wildlife) Regulation 2006</t>
    </r>
  </si>
  <si>
    <t xml:space="preserve">Native title recognises the traditional rights and interests to land and waters of Aboriginal and Torres Strait Islander people. Under the Native Title Act 1993, native title claimants can make an application to the Federal Court to have their native title recognised by Australian law.	
The Native Title Act 1993 must be complied with prior to the granting of the appropriate tenure, except on land where Native Title has been extinguished.  </t>
  </si>
  <si>
    <t>Native Title Act 1993</t>
  </si>
  <si>
    <t xml:space="preserve">	Compliance with operational work permits and ERA approval. </t>
  </si>
  <si>
    <r>
      <t>Planning Act 2016</t>
    </r>
    <r>
      <rPr>
        <i/>
        <sz val="9"/>
        <color theme="1"/>
        <rFont val="Arial"/>
        <family val="2"/>
        <scheme val="minor"/>
      </rPr>
      <t xml:space="preserve">  
</t>
    </r>
    <r>
      <rPr>
        <sz val="9"/>
        <color theme="1"/>
        <rFont val="Arial"/>
        <family val="2"/>
        <scheme val="minor"/>
      </rPr>
      <t>Planning Regulation 2017</t>
    </r>
  </si>
  <si>
    <t xml:space="preserve">	Chief executive (TMR) may approve a compliance management plan </t>
  </si>
  <si>
    <t>Transport Infrastructure Act 1994</t>
  </si>
  <si>
    <t>An exemption exists under Schedule 21, part 1, section 1, item 14(b) of the Planning Regulation 2017, which allows for the clearing of vegetation for constructing or maintaining infrastructure that is government-supported transport infrastructure.</t>
  </si>
  <si>
    <t>Vegetation Management Act 1999</t>
  </si>
  <si>
    <r>
      <t xml:space="preserve">Licencing and Riverine Protection Permit requirements where unmapped existing streams are determined to be Watercourses. 
Limits the taking or interfering with water, clearing riparian vegetation, and excavating or placing fill in waterbodies.
All excavation, placement of fill or destroying vegetation in a watercourse must:
- Comply with the </t>
    </r>
    <r>
      <rPr>
        <u/>
        <sz val="9"/>
        <rFont val="Arial (Body)"/>
      </rPr>
      <t>Riverine protection permit exemption requirements</t>
    </r>
    <r>
      <rPr>
        <sz val="9"/>
        <rFont val="Arial (Body)"/>
      </rPr>
      <t>; or
- Be carried out under a Riverine Protection Permit.</t>
    </r>
  </si>
  <si>
    <t>Water Act 2000</t>
  </si>
  <si>
    <t>EPBC Act - significant impact identified during works</t>
  </si>
  <si>
    <r>
      <t xml:space="preserve">Note - documents in </t>
    </r>
    <r>
      <rPr>
        <b/>
        <i/>
        <sz val="9"/>
        <color rgb="FFFF0000"/>
        <rFont val="Arial (Body)"/>
      </rPr>
      <t>red text</t>
    </r>
    <r>
      <rPr>
        <b/>
        <i/>
        <sz val="9"/>
        <color theme="1"/>
        <rFont val="Arial"/>
        <family val="2"/>
        <scheme val="minor"/>
      </rPr>
      <t xml:space="preserve"> have not be provided to add to compliance register as yet</t>
    </r>
  </si>
  <si>
    <t>Sheet</t>
  </si>
  <si>
    <t>Document</t>
  </si>
  <si>
    <t># / Reference</t>
  </si>
  <si>
    <t>Version</t>
  </si>
  <si>
    <t>Date</t>
  </si>
  <si>
    <t>Comments</t>
  </si>
  <si>
    <t>Specification</t>
  </si>
  <si>
    <t>Schedule C1 Performance Specification (Ormeau Facility)</t>
  </si>
  <si>
    <t>Environmental Planning and Management (EPM) Framework</t>
  </si>
  <si>
    <t>MD-13-320</t>
  </si>
  <si>
    <t>Contractor Safety and Environment Management</t>
  </si>
  <si>
    <t>MD-12-164</t>
  </si>
  <si>
    <t xml:space="preserve">Vegetation Management
</t>
  </si>
  <si>
    <t>MD-15-3</t>
  </si>
  <si>
    <t>Noise Management (Environmental) Standard</t>
  </si>
  <si>
    <t>MD-15-315</t>
  </si>
  <si>
    <t>Noise and Vibration Assessment (Environment)</t>
  </si>
  <si>
    <t>MD-15-316</t>
  </si>
  <si>
    <t>Noise and Vibration Management (Environment) Procedure</t>
  </si>
  <si>
    <t>MD-15-317</t>
  </si>
  <si>
    <t>Environmental Processes Manual</t>
  </si>
  <si>
    <t>Noted - the requirements in this document are not relevant to the scope of works</t>
  </si>
  <si>
    <t>Heritage</t>
  </si>
  <si>
    <t>Schedule A43 Cultural Heritage Management Plan - Jabree</t>
  </si>
  <si>
    <t>Schedule A44 Partial Clearance Report - Danggan Balun</t>
  </si>
  <si>
    <t>WWBW</t>
  </si>
  <si>
    <t>Accepted development requirements for operational work that is constructing or raising waterway barrier works</t>
  </si>
  <si>
    <t>RPP Exemption</t>
  </si>
  <si>
    <t>Riverine protection permit exemption requirements</t>
  </si>
  <si>
    <t>WSS/2013/726</t>
  </si>
  <si>
    <t>CMP</t>
  </si>
  <si>
    <t>Compliance Management Plan - Ormeau Facility</t>
  </si>
  <si>
    <r>
      <rPr>
        <i/>
        <sz val="9"/>
        <color theme="1"/>
        <rFont val="Arial"/>
        <family val="2"/>
        <scheme val="minor"/>
      </rPr>
      <t xml:space="preserve">Filename: </t>
    </r>
    <r>
      <rPr>
        <sz val="9"/>
        <color theme="1"/>
        <rFont val="Arial"/>
        <family val="2"/>
        <scheme val="minor"/>
      </rPr>
      <t>COMPARE_Ormeau Facility PFAS CMP_Rev C 13Oct2023 vs Rev B 28Sept2023</t>
    </r>
  </si>
  <si>
    <t>Verify at completion of project</t>
  </si>
  <si>
    <t>Pacific Highway, Ormeau – Waterway Barrier Works</t>
  </si>
  <si>
    <t>SARA Ref: 2506-46598 SDA, Attachment 1 Conditions</t>
  </si>
  <si>
    <t>Construct works only in accordance with approved drawings and locations</t>
  </si>
  <si>
    <t>DT Infrastructure</t>
  </si>
  <si>
    <t>Notify Department of Primary Industries of completion of fisheries development works</t>
  </si>
  <si>
    <t>Submit written notice to notifications@dpi.qld.gov.au quoting ref 2506-46598 SDA</t>
  </si>
  <si>
    <t>Within 15 business days of completion</t>
  </si>
  <si>
    <t>Spoil must not be disposed on tidal lands or in waterways; manage to prevent acid soil development</t>
  </si>
  <si>
    <t>Implement spoil and acid sulfate soil management controls</t>
  </si>
  <si>
    <t>Contractor / DT Infrastructure</t>
  </si>
  <si>
    <t>Site must be open for inspection under Fisheries Act 1994</t>
  </si>
  <si>
    <t>Allow inspector access as required</t>
  </si>
  <si>
    <t>Provide upstream and downstream fish passage across each barrier</t>
  </si>
  <si>
    <t>Maintain fish passage functionality</t>
  </si>
  <si>
    <t>Fish passage must cater for whole fish community</t>
  </si>
  <si>
    <t>Design and maintain passage for species, life stages and flows</t>
  </si>
  <si>
    <t>No drops in elevation at culvert aprons/scour protection/waterway bed interfaces</t>
  </si>
  <si>
    <t>Construct and maintain level transitions</t>
  </si>
  <si>
    <t>Avoid fish injury, mortality or entrapment</t>
  </si>
  <si>
    <t>Construct and maintain barriers and infrastructure accordingly</t>
  </si>
  <si>
    <t>Fish salvage and notification requirements if stranding/entrapment occurs</t>
  </si>
  <si>
    <t>Undertake fish salvage and notify DPI</t>
  </si>
  <si>
    <t>When fish stranding/entrapment occurs</t>
  </si>
  <si>
    <t>Decommissioning</t>
  </si>
  <si>
    <t>Remove temporary waterway barrier (Western Haul Road Crossing)</t>
  </si>
  <si>
    <t>Remove temporary crossing</t>
  </si>
  <si>
    <t>By no later than 31 Jul 2026</t>
  </si>
  <si>
    <t>Rehabilitation</t>
  </si>
  <si>
    <t>Restore waterway profiles after removal of temporary barrier</t>
  </si>
  <si>
    <t>Reinstate channel profile to match upstream/downstream conditions</t>
  </si>
  <si>
    <t>Within 10 business days of removal and before post-works notification</t>
  </si>
  <si>
    <t>"Unamed tributary of Bridge Creek at Ormeau" aka; No Name Creek</t>
  </si>
  <si>
    <t>(a) a temporary haul crossing, referred to as Western Haul Road Crossing consisting of 3 x 600mm diameter pipes within an unnamed tributary of Bridge Creek at -27.760689, 153.251562 
(b) a permanent box culvert, referred to as Culvert 1A consisting of 5 x 3000x1200mm box culverts within an unnamed tributary of Bridge Creek at -27.760797, 153.251120 as shown on Culvert 1A Plan and Section, prepared by DT Infrastructure and wgjv, dated 11/24, Consultant DWG No. QTMP-DJV-OSYCIMC00-DRG-SD2001 and issue A 
(c) a permanent box culvert, referred to as Culvert 1B consisting of 5 x 3000x1200mm box culverts within an unnamed tributary of Bridge Creek at -27.760660, 153.251720 as shown on Culvert 1B – Plan and Section, prepared by DT Infrastructure and wgjv, dated 23/09/24, Document No. QTMP-DJV-OMFCIMC00-DRG-SD1001 and issue A 
(d) a permanent box culvert, referred to as Culvert 1D consisting of 4 x 3000x1200mm box culverts within an unnamed tributary of Bridge Creek at -27.761025, 153.254332 as shown on Culvert 1D Plan and Section, prepared by DT Infrastructure and wgjv, dated 11/24, Consultant DWG No. QTMP-DJV-OSYCIMC00-DRG-SD2051 and issue A.</t>
  </si>
  <si>
    <t>Development limited to approved four waterway barrier works as specified in Condition 1:</t>
  </si>
  <si>
    <t>Inspection records / field sheets, photographs, survey records
Waste tracking records</t>
  </si>
  <si>
    <t xml:space="preserve">DAF inspection completed (2025) </t>
  </si>
  <si>
    <t>Not completed - ongoing</t>
  </si>
  <si>
    <t xml:space="preserve">Not completed - rehabilitation </t>
  </si>
  <si>
    <t>Upon Completion</t>
  </si>
  <si>
    <t>Pre-construction</t>
  </si>
  <si>
    <t>Construct and fully connect diversion channel before bunding, dewatering or infilling existing waterways. [2402-39300...itions (1) | PDF]</t>
  </si>
  <si>
    <t>Fish Salvage Plan</t>
  </si>
  <si>
    <t>Verify diversion is connected upstream and downstream prior to waterway isolation.</t>
  </si>
  <si>
    <t>Prior to dewatering</t>
  </si>
  <si>
    <t>Prior to works</t>
  </si>
  <si>
    <t> </t>
  </si>
  <si>
    <t>Inspection records, photos</t>
  </si>
  <si>
    <t>Undertake fish and turtle salvage before and during dewatering. [2402-39300...itions (1) | PDF]</t>
  </si>
  <si>
    <t>Fish Salvage Plan Table 1</t>
  </si>
  <si>
    <t>Implement fish salvage procedure using approved methods.</t>
  </si>
  <si>
    <t>During dewatering</t>
  </si>
  <si>
    <t>Salvage records</t>
  </si>
  <si>
    <t>Dewater progressively in stages with fish salvage undertaken following each 25% reduction in water volume. [2402-39300...itions (1) | PDF]</t>
  </si>
  <si>
    <t>Monitor dewatering stages and complete salvage at each stage.</t>
  </si>
  <si>
    <t>Field records</t>
  </si>
  <si>
    <t>Install fish protection screens on all pumps, siphons and pipe inlets. [2402-39300...itions (1) | PDF]</t>
  </si>
  <si>
    <t>Inspect and verify compliant screens installed.</t>
  </si>
  <si>
    <t>During pumping activities</t>
  </si>
  <si>
    <t>Inspection checklist</t>
  </si>
  <si>
    <t>Undertake daily water quality monitoring during dewatering activities. [2402-39300...itions (1) | PDF]</t>
  </si>
  <si>
    <t>Monitor turbidity and dissolved oxygen.</t>
  </si>
  <si>
    <t>Daily during dewatering</t>
  </si>
  <si>
    <t>Environmental Advisor</t>
  </si>
  <si>
    <t>Monitoring logs</t>
  </si>
  <si>
    <t>Maintain turbidity within 10% of baseline maximum values. [2402-39300...itions (1) | PDF]</t>
  </si>
  <si>
    <t>Implement corrective actions if trigger exceeded.</t>
  </si>
  <si>
    <t>Daily monitoring</t>
  </si>
  <si>
    <t>Water quality reports</t>
  </si>
  <si>
    <t>Maintain dissolved oxygen above 3.8 mg/L. [2402-39300...itions (1) | PDF]</t>
  </si>
  <si>
    <t>Aerate water where required.</t>
  </si>
  <si>
    <t>Notify DAF in the event of a fish kill. [2402-39300...itions (1) | PDF]</t>
  </si>
  <si>
    <t>Submit incident notification.</t>
  </si>
  <si>
    <t>Notification records</t>
  </si>
  <si>
    <t>Notify DES in the event of turtle mortality. [2402-39300...itions (1) | PDF]</t>
  </si>
  <si>
    <t>Record fish species, quantities and sizes salvaged and provide report to DAF. [2402-39300...itions (1) | PDF]</t>
  </si>
  <si>
    <t>Maintain salvage register and submit report.</t>
  </si>
  <si>
    <t>Following salvage works</t>
  </si>
  <si>
    <t>Completion of salvage</t>
  </si>
  <si>
    <t>DAF report</t>
  </si>
  <si>
    <t>Euthanise pest fish species and prevent release to receiving waters. [2402-39300...itions (1) | PDF]</t>
  </si>
  <si>
    <t>Identify and dispose of pest fish appropriately.</t>
  </si>
  <si>
    <t>During salvage</t>
  </si>
  <si>
    <t>Maintain a clearly defined low-flow and moderate-flow channel. [2402-39300...itions (1) | PDF]</t>
  </si>
  <si>
    <t>Rehabilitation &amp; Remediation Plan</t>
  </si>
  <si>
    <t>Construct and maintain channels as designed.</t>
  </si>
  <si>
    <t>Inspection reports</t>
  </si>
  <si>
    <t>Ensure no abrupt bed level changes occur throughout diversion alignment. [2402-39300...itions (1) | PDF]</t>
  </si>
  <si>
    <t>Verify levels during construction and inspections.</t>
  </si>
  <si>
    <t>Construction and operation</t>
  </si>
  <si>
    <t>Survey records</t>
  </si>
  <si>
    <t>Install aquatic habitat features including pools connected to low-flow channel. [2402-39300...itions (1) | PDF]</t>
  </si>
  <si>
    <t>Construct habitat features in accordance with design.</t>
  </si>
  <si>
    <t>Completion of works</t>
  </si>
  <si>
    <t>As-built records</t>
  </si>
  <si>
    <t>Establish aquatic rehabilitation zones across channel bed, banks and top banks. [2402-39300...itions (1) | PDF]</t>
  </si>
  <si>
    <t>Undertake planting program.</t>
  </si>
  <si>
    <t>Rehabilitation phase</t>
  </si>
  <si>
    <t>Rehabilitation period</t>
  </si>
  <si>
    <t>Planting records</t>
  </si>
  <si>
    <t>Ensure no individual plant species exceeds 30% of planted composition per category. [2402-39300...itions (1) | PDF]</t>
  </si>
  <si>
    <t>Review planting schedule and species counts.</t>
  </si>
  <si>
    <t>During planting</t>
  </si>
  <si>
    <t>Planting register</t>
  </si>
  <si>
    <t>Implement Erosion and Sediment Control Management Plan. [2402-39300...itions (1) | PDF]</t>
  </si>
  <si>
    <t>Install and maintain erosion and sediment controls.</t>
  </si>
  <si>
    <t>Construction phase</t>
  </si>
  <si>
    <t>ESC inspections</t>
  </si>
  <si>
    <t>Implement Acid Sulfate Soil Management Plan. [2402-39300...itions (1) | PDF]</t>
  </si>
  <si>
    <t>Manage acid sulfate soils in accordance with approved plan.</t>
  </si>
  <si>
    <t>ASS management records</t>
  </si>
  <si>
    <t>Implement construction-phase water quality monitoring including trigger levels and corrective actions. [2402-39300...itions (1) | PDF]</t>
  </si>
  <si>
    <t>Conduct monitoring and respond to non-conformances.</t>
  </si>
  <si>
    <t>Monitoring</t>
  </si>
  <si>
    <t>Undertake fish passage monitoring at upstream, diversion and downstream locations. [2402-39300...itions (1) | PDF]</t>
  </si>
  <si>
    <t>Fish Passage Monitoring Plan</t>
  </si>
  <si>
    <t>Conduct monitoring surveys.</t>
  </si>
  <si>
    <t>Years 1, 2 and 5 post-construction</t>
  </si>
  <si>
    <t>Scheduled</t>
  </si>
  <si>
    <t>Complete one base-flow and one moderate-flow survey during each monitoring year. [2402-39300...itions (1) | PDF]</t>
  </si>
  <si>
    <t>Schedule and undertake monitoring events.</t>
  </si>
  <si>
    <t>Years 1, 2 and 5</t>
  </si>
  <si>
    <t>Survey reports</t>
  </si>
  <si>
    <t>Investigate performance failures and implement corrective actions where fish passage targets are not achieved. [2402-39300...itions (1) | PDF]</t>
  </si>
  <si>
    <t>Complete investigation and corrective actions.</t>
  </si>
  <si>
    <t>Corrective action records</t>
  </si>
  <si>
    <t>Submit interim Year 1 and Year 2 reports and final Year 5 report to DAF. [2402-39300...itions (1) | PDF]</t>
  </si>
  <si>
    <t>Prepare and submit monitoring reports.</t>
  </si>
  <si>
    <t>Reporting milestones</t>
  </si>
  <si>
    <t>Submitted reports</t>
  </si>
  <si>
    <t>Rehabilitation Monitoring</t>
  </si>
  <si>
    <t>Establish twenty permanent 2m x 2m quadrats in each rehabilitation area. [2402-39300...itions (1) | PDF]</t>
  </si>
  <si>
    <t>Aquatic Plant Monitoring Plan</t>
  </si>
  <si>
    <t>Install quadrats and fixed photo points.</t>
  </si>
  <si>
    <t>Within 2 weeks of rehabilitation completion</t>
  </si>
  <si>
    <t>2 weeks post rehabilitation</t>
  </si>
  <si>
    <t>Monitoring setup records</t>
  </si>
  <si>
    <t>Undertake aquatic plant monitoring at Years 1, 2 and 5. [2402-39300...itions (1) | PDF]</t>
  </si>
  <si>
    <t>Conduct vegetation assessments.</t>
  </si>
  <si>
    <t>Implement supplementary planting where species abundance is &gt;20% below baseline. [2402-39300...itions (1) | PDF]</t>
  </si>
  <si>
    <t>Undertake revegetation works.</t>
  </si>
  <si>
    <t>Implement weed control where weed cover exceeds 10% above baseline. [2402-39300...itions (1) | PDF]</t>
  </si>
  <si>
    <t>Undertake weed management.</t>
  </si>
  <si>
    <t>Weed treatment records</t>
  </si>
  <si>
    <t>Submit baseline, interim and final rehabilitation monitoring reports to DAF. [2402-39300...itions (1) | PDF]</t>
  </si>
  <si>
    <t>Prepare and submit reports.</t>
  </si>
  <si>
    <t>Monitoring milestones</t>
  </si>
  <si>
    <t>Link</t>
  </si>
  <si>
    <t xml:space="preserve">Site is open to Inspectors. </t>
  </si>
  <si>
    <t>DPI_DAF</t>
  </si>
  <si>
    <t>The Department believes that appropriate steps will be taken to address the above issues. In light of this, compliance action is not being considered at this time.</t>
  </si>
  <si>
    <t>Fish Passage open. Partail waterway barriers only. GIS drone images as evidence</t>
  </si>
  <si>
    <t>Low flow channel unimpeded at all times</t>
  </si>
  <si>
    <t>Confirm within 10 days as required</t>
  </si>
  <si>
    <t>No drops, Low flow channel open</t>
  </si>
  <si>
    <t>No works recorded in high flow events</t>
  </si>
  <si>
    <t>Diversion incomplete</t>
  </si>
  <si>
    <t>Post Works Notification_2506-46598 SDA Condition 10.pdf</t>
  </si>
  <si>
    <t>Post-works notification form 13.02.2026</t>
  </si>
  <si>
    <t>Condition #</t>
  </si>
  <si>
    <t>1:a-d</t>
  </si>
  <si>
    <t>ADR Compliance Requirement Summary</t>
  </si>
  <si>
    <t>Operational Works</t>
  </si>
  <si>
    <t>Development limited to temporary removal/damage/destruction of 57m² of marine plants (26 Casuarina glauca trees) as per approved plan.</t>
  </si>
  <si>
    <t>Ensure works remain within approved disturbance footprint and scope.</t>
  </si>
  <si>
    <t>Contractor / Project Manager</t>
  </si>
  <si>
    <t>Ongoing during works</t>
  </si>
  <si>
    <t>Same project</t>
  </si>
  <si>
    <t>Submit commencement and completion notifications referencing permit 2308-36075 SDA.</t>
  </si>
  <si>
    <t>Spoil must not be disposed on tidal lands or waterways and managed to prevent acid soil development.</t>
  </si>
  <si>
    <t>Implement spoil management and disposal controls.</t>
  </si>
  <si>
    <t>Contractor</t>
  </si>
  <si>
    <t>Development site must remain open for inspection by Fisheries inspector.</t>
  </si>
  <si>
    <t>Provide access for authorised inspections.</t>
  </si>
  <si>
    <t>Undertake restoration, monitoring and reporting to DAF.</t>
  </si>
  <si>
    <t>As per plan</t>
  </si>
  <si>
    <t>Remove vegetation/materials and dispose at licensed facility.</t>
  </si>
  <si>
    <t>Post works</t>
  </si>
  <si>
    <t xml:space="preserve">
Condition 1, SARA Decision Notice 2308-36075 SDA</t>
  </si>
  <si>
    <t>2308-36075 SDA - Decision notice.pdf
Condition 1, SARA Decision Notice 2308-36075 SDA</t>
  </si>
  <si>
    <t>2309-36966 SDA - Decision - approval with conditions.pdf</t>
  </si>
  <si>
    <t>Decision documents</t>
  </si>
  <si>
    <t>Pacific Highway, 56 Prairie Road, 58 &amp; 58A Burnside Road, Ormeau / Marine plant removal for rail infrastructure</t>
  </si>
  <si>
    <t>Development limited to permanent removal, damage and destruction of 2,003m² of Casuarina glauca marine plants in approved impact area.</t>
  </si>
  <si>
    <t>Condition 1</t>
  </si>
  <si>
    <t>Ensure works do not exceed approved impact footprint and extent.</t>
  </si>
  <si>
    <t>Project Manager / Contractor</t>
  </si>
  <si>
    <t>Implement restoration works in accordance with approved plans and revisions.</t>
  </si>
  <si>
    <t>For duration of works</t>
  </si>
  <si>
    <t>As per approved plan</t>
  </si>
  <si>
    <t>Submit commencement and completion notifications to notifications@daf.qld.gov.au.</t>
  </si>
  <si>
    <t>Triggered by milestones</t>
  </si>
  <si>
    <t>Spoil must not be disposed on tidal lands or waterways and must be managed to prevent acid soil development.</t>
  </si>
  <si>
    <t>Implement spoil and acid sulfate soil management controls.</t>
  </si>
  <si>
    <t>Development site must remain open for inspection by authorised Fisheries inspectors.</t>
  </si>
  <si>
    <t>Provide unrestricted access for inspections when requested.</t>
  </si>
  <si>
    <t>Remove vegetation and dispose of all waste/debris at licensed facility.</t>
  </si>
  <si>
    <t>Complete restoration, undertake monitoring and submit reports.</t>
  </si>
  <si>
    <t>As per restoration schedule</t>
  </si>
  <si>
    <t>Notify Department of Agriculture and Fisheries (DAF) of commencement and completion of works.
(a) will initially start; and
(b) when it has been completed.
Any notice must state the application’s reference number: 2308-36075
SDA</t>
  </si>
  <si>
    <t>5a</t>
  </si>
  <si>
    <t>5b</t>
  </si>
  <si>
    <t>Submit monitoring reports to the Department of Agriculture and Fisheries at notifications@daf.qld.gov.au at: 
(i) any time(s) specified in the plan referenced in part (a) of this condition 
(ii) upon completion of the restoration works required by part (a) of this condition.</t>
  </si>
  <si>
    <t>The marine plant restoration must be carried out generally in
accordance with the following plans:</t>
  </si>
  <si>
    <t>2a</t>
  </si>
  <si>
    <t>2b</t>
  </si>
  <si>
    <t>2c</t>
  </si>
  <si>
    <t>(b) Figure 2 Marine plant restoration site plan, prepared by WSP, dated 26/09/2023, reference PS135900.</t>
  </si>
  <si>
    <t xml:space="preserve">a) Marine Plant Restoration Plan, prepared by WGJV, dated September 2023, reference QTMP-WSP-OSWDMPCOOTMP-000002 and revision B.  </t>
  </si>
  <si>
    <t>(c) Supplementary restoration details, prepared by Will Miller (WSP), dated 26 October 2023 and reference 2309-36996 SDA, as amended in red by SARA.</t>
  </si>
  <si>
    <t>Submit written notice to the Department of Agriculture and Fisheries at notifications@daf.qld.gov.au advising when the development authorised under this decision notice: 
(a) will start; and 
(b) when it has been completed. 
Any notice must state the application’s reference number: 2309-36996 SDA.</t>
  </si>
  <si>
    <t>6a</t>
  </si>
  <si>
    <t>6b</t>
  </si>
  <si>
    <t>(a) Remove marine plants that have been authorised for removal as part of this development from the project area.</t>
  </si>
  <si>
    <t>(b) Dispose of all material associated with the development (e.g., debris, construction material, soil, etc.) from the project area at an appropriate licensed facility.</t>
  </si>
  <si>
    <t>7a</t>
  </si>
  <si>
    <t>7b</t>
  </si>
  <si>
    <t xml:space="preserve">(a) Restore the area identified for restoration generally in accordance with the Marine Plant Restoration Plan, prepared by WGJV, dated September 2023, reference QTMP-WSP-OSWDMPCOO-TMP000002 and revision B. </t>
  </si>
  <si>
    <t>(b) Submit notice monitoring reports to the Department of Agriculture and Fisheries at notifications@daf.qld.gov.au at: 
i. any time(s) specified in the plans referenced in part (a) of this condition 
ii. upon completion of the restoration works required by part (a) of this condition.</t>
  </si>
  <si>
    <t>(a) Start: 5-20 business days before works 
(b) Completion: within 15 business days after completion</t>
  </si>
  <si>
    <t>(a) As stated in the Marine plant restoration plan.</t>
  </si>
  <si>
    <t>b) (i) As stated. 
(b) (ii) Within 10 business days of completion of the restoration works and within 5 years of any removal, damage or destruction of marine plants.</t>
  </si>
  <si>
    <t>(a) As soon as reasonably practicable after the marine plants have been removed.</t>
  </si>
  <si>
    <t>(b) As soon as reasonably practicable.</t>
  </si>
  <si>
    <t>(a) At least 5 business days but no greater than 20 business days prior to the commencement of the works. 
(b) Within 15 business days of the completion of the fisheries develop</t>
  </si>
  <si>
    <t>a) As soon as reasonably
practicable after
the marine plants
have been
removed.</t>
  </si>
  <si>
    <t>(a) As stated in the Marine Plant Restoration Plan.</t>
  </si>
  <si>
    <t>(b)(i) As stated. 
(b)(ii) Within 10 business days of completion of the restoration works and within 5 years any of removal, damage or destruction of marine plants.</t>
  </si>
  <si>
    <t>(a) - completed</t>
  </si>
  <si>
    <t>46 Greyhound Road, Gilberton and 82 Prairie Road, Ormeau (the Site)</t>
  </si>
  <si>
    <t xml:space="preserve"> Restore the area where marine plants are temporarily removed,
damaged or destroyed by this development generally in accordance
with the Marine plant restoration plan, prepared by WSP GHD Joint
Venture, dated October 2023, reference QTMP-DJV-ONAENAP00-
RPT-000001, revision E, and as amended in red by SARA on
25 October 2023.</t>
  </si>
  <si>
    <t>Inspection records / field sheets, photographs, survey records</t>
  </si>
  <si>
    <t>noted</t>
  </si>
  <si>
    <t>Links</t>
  </si>
  <si>
    <t>Bridge Creek - fish salvage</t>
  </si>
  <si>
    <t>No-Name Creek - Fish Salvage</t>
  </si>
  <si>
    <t>01. DA OPEN__Bridge Creek_Diversion 2408-41693 SPD_2402-39300 SDA</t>
  </si>
  <si>
    <t>Memo review of fish passage issues at Ormeau rail facility -Final.pdf</t>
  </si>
  <si>
    <t>DAF Notifications</t>
  </si>
  <si>
    <t>N/A - until completion</t>
  </si>
  <si>
    <t>Weekly Environmental Inspection Checklist_Full Report</t>
  </si>
  <si>
    <t>?</t>
  </si>
  <si>
    <t>drawings?</t>
  </si>
  <si>
    <t>..</t>
  </si>
  <si>
    <t>Waste Transfer Certs</t>
  </si>
  <si>
    <t>Rev 2- Dewatering and Fish Salvage Reports - TO DAF</t>
  </si>
  <si>
    <t>DTI QTMP OMF_Construction Water Monitoring .xlsx</t>
  </si>
  <si>
    <t xml:space="preserve">N/A - no current records </t>
  </si>
  <si>
    <t>01 TOPO Audits and Inspections</t>
  </si>
  <si>
    <t>monthly reports?</t>
  </si>
  <si>
    <t>03_Incidents and NCR's</t>
  </si>
  <si>
    <t>Weed survey</t>
  </si>
  <si>
    <t>02. DA OPEN_No-Name Creek Diversion_ 2407-41572 SPD_2312-38409 SDA</t>
  </si>
  <si>
    <t>2. Marine Plant DAs</t>
  </si>
  <si>
    <t>Pre-works 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</si>
</sst>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Red]&quot;◄ Error&quot;;[Red]&quot;◄ Error&quot;;&quot;◄ [OK]&quot;"/>
    <numFmt numFmtId="165" formatCode="[Red]&quot;▲ Error&quot;;[Red]&quot;▲ Error&quot;;&quot;▲ [OK]&quot;"/>
  </numFmts>
  <fonts count="90">
    <font>
      <sz val="9"/>
      <color theme="1"/>
      <name val="Arial"/>
      <family val="2"/>
      <scheme val="minor"/>
    </font>
    <font>
      <sz val="11"/>
      <color theme="1"/>
      <name val="Arial"/>
      <family val="2"/>
    </font>
    <font>
      <b/>
      <sz val="8"/>
      <color rgb="FF969696"/>
      <name val="Arial"/>
      <family val="2"/>
    </font>
    <font>
      <sz val="9"/>
      <color theme="1"/>
      <name val="Arial"/>
      <family val="2"/>
      <scheme val="minor"/>
    </font>
    <font>
      <i/>
      <sz val="10"/>
      <color rgb="FF7F7F7F"/>
      <name val="Century Gothic"/>
      <family val="2"/>
    </font>
    <font>
      <sz val="11"/>
      <name val="Arial Black"/>
      <family val="2"/>
      <scheme val="major"/>
    </font>
    <font>
      <sz val="16"/>
      <name val="Arial Black"/>
      <family val="2"/>
      <scheme val="major"/>
    </font>
    <font>
      <sz val="9"/>
      <color rgb="FF9C0006"/>
      <name val="Arial"/>
      <family val="2"/>
      <scheme val="minor"/>
    </font>
    <font>
      <sz val="9"/>
      <color rgb="FF006100"/>
      <name val="Arial"/>
      <family val="2"/>
      <scheme val="minor"/>
    </font>
    <font>
      <sz val="9"/>
      <color rgb="FF9C6500"/>
      <name val="Arial"/>
      <family val="2"/>
      <scheme val="minor"/>
    </font>
    <font>
      <u/>
      <sz val="9"/>
      <color theme="1"/>
      <name val="Arial"/>
      <family val="2"/>
      <scheme val="minor"/>
    </font>
    <font>
      <sz val="9"/>
      <color rgb="FFFF0000"/>
      <name val="Arial"/>
      <family val="2"/>
      <scheme val="minor"/>
    </font>
    <font>
      <sz val="9"/>
      <name val="Arial"/>
      <family val="2"/>
      <scheme val="minor"/>
    </font>
    <font>
      <sz val="9"/>
      <color rgb="FF3F3F76"/>
      <name val="Arial"/>
      <family val="2"/>
      <scheme val="minor"/>
    </font>
    <font>
      <b/>
      <sz val="8"/>
      <color theme="0"/>
      <name val="Arial"/>
      <family val="2"/>
      <scheme val="minor"/>
    </font>
    <font>
      <i/>
      <sz val="9"/>
      <color rgb="FF0000CC"/>
      <name val="Arial"/>
      <family val="2"/>
      <scheme val="minor"/>
    </font>
    <font>
      <b/>
      <sz val="9"/>
      <color theme="1"/>
      <name val="Arial"/>
      <family val="2"/>
      <scheme val="minor"/>
    </font>
    <font>
      <b/>
      <sz val="10"/>
      <color rgb="FF3F3F3F"/>
      <name val="Century Gothic"/>
      <family val="2"/>
    </font>
    <font>
      <b/>
      <sz val="10"/>
      <color rgb="FFFA7D00"/>
      <name val="Century Gothic"/>
      <family val="2"/>
    </font>
    <font>
      <sz val="10"/>
      <color rgb="FFFA7D00"/>
      <name val="Century Gothic"/>
      <family val="2"/>
    </font>
    <font>
      <b/>
      <sz val="10"/>
      <color theme="0"/>
      <name val="Century Gothic"/>
      <family val="2"/>
    </font>
    <font>
      <b/>
      <sz val="15"/>
      <color theme="3"/>
      <name val="Arial"/>
      <family val="2"/>
    </font>
    <font>
      <b/>
      <sz val="13"/>
      <color theme="3"/>
      <name val="Arial"/>
      <family val="2"/>
    </font>
    <font>
      <b/>
      <sz val="11"/>
      <color theme="3"/>
      <name val="Arial"/>
      <family val="2"/>
    </font>
    <font>
      <b/>
      <sz val="10"/>
      <color theme="1"/>
      <name val="Arial"/>
      <family val="2"/>
    </font>
    <font>
      <sz val="9"/>
      <color theme="1"/>
      <name val="Arial"/>
      <family val="2"/>
    </font>
    <font>
      <sz val="9"/>
      <color theme="0"/>
      <name val="Arial"/>
      <family val="2"/>
    </font>
    <font>
      <b/>
      <sz val="9"/>
      <color rgb="FF000000"/>
      <name val="Arial"/>
      <family val="2"/>
      <scheme val="minor"/>
    </font>
    <font>
      <b/>
      <sz val="9"/>
      <name val="Arial"/>
      <family val="2"/>
      <scheme val="minor"/>
    </font>
    <font>
      <b/>
      <sz val="11"/>
      <color theme="3"/>
      <name val="Arial"/>
      <family val="2"/>
      <scheme val="minor"/>
    </font>
    <font>
      <sz val="12"/>
      <color theme="1"/>
      <name val="Arial"/>
      <family val="2"/>
    </font>
    <font>
      <sz val="10"/>
      <name val="Arial"/>
      <family val="2"/>
    </font>
    <font>
      <sz val="9"/>
      <color indexed="81"/>
      <name val="Tahoma"/>
      <family val="2"/>
    </font>
    <font>
      <sz val="8"/>
      <color indexed="8"/>
      <name val="Arial"/>
      <family val="2"/>
    </font>
    <font>
      <sz val="11"/>
      <name val="Arial Black"/>
      <family val="2"/>
    </font>
    <font>
      <b/>
      <sz val="9"/>
      <name val="Arial"/>
      <family val="2"/>
    </font>
    <font>
      <sz val="8"/>
      <name val="Arial"/>
      <family val="2"/>
    </font>
    <font>
      <b/>
      <sz val="9"/>
      <color theme="1"/>
      <name val="Arial"/>
      <family val="2"/>
    </font>
    <font>
      <sz val="10"/>
      <color indexed="8"/>
      <name val="Arial"/>
      <family val="2"/>
    </font>
    <font>
      <b/>
      <sz val="10"/>
      <name val="Arial"/>
      <family val="2"/>
    </font>
    <font>
      <u/>
      <sz val="9"/>
      <color theme="1"/>
      <name val="Arial"/>
      <family val="2"/>
    </font>
    <font>
      <sz val="9"/>
      <name val="Arial"/>
      <family val="2"/>
    </font>
    <font>
      <sz val="9"/>
      <color rgb="FF3F3F76"/>
      <name val="Arial"/>
      <family val="2"/>
    </font>
    <font>
      <sz val="8"/>
      <color indexed="63"/>
      <name val="Arial"/>
      <family val="2"/>
    </font>
    <font>
      <sz val="10"/>
      <color theme="1"/>
      <name val="Arial"/>
      <family val="2"/>
    </font>
    <font>
      <sz val="10"/>
      <color indexed="63"/>
      <name val="Arial"/>
      <family val="2"/>
    </font>
    <font>
      <b/>
      <sz val="10"/>
      <color rgb="FF000000"/>
      <name val="Arial"/>
      <family val="2"/>
    </font>
    <font>
      <sz val="10"/>
      <color rgb="FF000000"/>
      <name val="Arial"/>
      <family val="2"/>
    </font>
    <font>
      <sz val="11"/>
      <color theme="0"/>
      <name val="Arial Black"/>
      <family val="2"/>
    </font>
    <font>
      <b/>
      <sz val="9"/>
      <color theme="0"/>
      <name val="Arial"/>
      <family val="2"/>
    </font>
    <font>
      <sz val="16"/>
      <color theme="0"/>
      <name val="Arial Black"/>
      <family val="2"/>
      <scheme val="major"/>
    </font>
    <font>
      <b/>
      <sz val="11"/>
      <color theme="0"/>
      <name val="Arial"/>
      <family val="2"/>
    </font>
    <font>
      <u/>
      <sz val="9"/>
      <name val="Arial (Body)"/>
    </font>
    <font>
      <i/>
      <sz val="9"/>
      <color theme="1"/>
      <name val="Arial"/>
      <family val="2"/>
      <scheme val="minor"/>
    </font>
    <font>
      <i/>
      <sz val="9"/>
      <name val="Arial"/>
      <family val="2"/>
      <scheme val="minor"/>
    </font>
    <font>
      <u/>
      <sz val="9"/>
      <color theme="1"/>
      <name val="Arial (Body)"/>
    </font>
    <font>
      <sz val="9"/>
      <color theme="1"/>
      <name val="Arial (Body)"/>
    </font>
    <font>
      <sz val="9"/>
      <name val="Arial (Body)"/>
    </font>
    <font>
      <sz val="9"/>
      <color rgb="FF000000"/>
      <name val="Arial"/>
      <family val="2"/>
      <scheme val="minor"/>
    </font>
    <font>
      <sz val="9"/>
      <color rgb="FFFF0000"/>
      <name val="Arial (Body)"/>
    </font>
    <font>
      <sz val="9"/>
      <color rgb="FF000000"/>
      <name val="Tahoma"/>
      <family val="2"/>
    </font>
    <font>
      <i/>
      <sz val="9"/>
      <color theme="1"/>
      <name val="Arial (Body)"/>
    </font>
    <font>
      <i/>
      <sz val="9"/>
      <color rgb="FFFF0000"/>
      <name val="Arial"/>
      <family val="2"/>
      <scheme val="minor"/>
    </font>
    <font>
      <b/>
      <i/>
      <sz val="9"/>
      <color rgb="FFFF0000"/>
      <name val="Arial (Body)"/>
    </font>
    <font>
      <b/>
      <i/>
      <sz val="9"/>
      <color theme="1"/>
      <name val="Arial"/>
      <family val="2"/>
      <scheme val="minor"/>
    </font>
    <font>
      <b/>
      <sz val="9"/>
      <color theme="0"/>
      <name val="Arial"/>
      <family val="2"/>
      <scheme val="minor"/>
    </font>
    <font>
      <b/>
      <sz val="9"/>
      <color rgb="FFFF0000"/>
      <name val="Arial"/>
      <family val="2"/>
      <scheme val="minor"/>
    </font>
    <font>
      <sz val="9"/>
      <color rgb="FFFF0000"/>
      <name val="Arial"/>
      <family val="2"/>
    </font>
    <font>
      <sz val="8"/>
      <name val="Arial"/>
      <family val="2"/>
      <scheme val="minor"/>
    </font>
    <font>
      <u/>
      <sz val="9"/>
      <color theme="10"/>
      <name val="Arial"/>
      <family val="2"/>
      <scheme val="minor"/>
    </font>
    <font>
      <sz val="11"/>
      <color theme="1"/>
      <name val="Arial"/>
      <family val="2"/>
    </font>
    <font>
      <sz val="11"/>
      <color rgb="FF000000"/>
      <name val="Arial"/>
    </font>
    <font>
      <b/>
      <sz val="11"/>
      <color rgb="FF000000"/>
      <name val="Arial"/>
    </font>
    <font>
      <i/>
      <sz val="11"/>
      <color rgb="FF000000"/>
      <name val="Arial"/>
    </font>
    <font>
      <i/>
      <sz val="11"/>
      <color theme="1"/>
      <name val="Arial"/>
      <family val="2"/>
    </font>
    <font>
      <sz val="11"/>
      <name val="Arial"/>
      <family val="2"/>
    </font>
    <font>
      <b/>
      <sz val="11"/>
      <name val="Arial"/>
      <family val="2"/>
    </font>
    <font>
      <sz val="11"/>
      <color rgb="FFFF0000"/>
      <name val="Arial"/>
      <family val="2"/>
    </font>
    <font>
      <i/>
      <sz val="11"/>
      <name val="Arial"/>
      <family val="2"/>
    </font>
    <font>
      <b/>
      <sz val="11"/>
      <color theme="1"/>
      <name val="Arial"/>
      <family val="2"/>
    </font>
    <font>
      <sz val="11"/>
      <color rgb="FF000000"/>
      <name val="Arial"/>
      <family val="2"/>
    </font>
    <font>
      <sz val="11"/>
      <color theme="1"/>
      <name val="Arial (Body)"/>
    </font>
    <font>
      <sz val="11"/>
      <color rgb="FFFF0000"/>
      <name val="Arial"/>
      <family val="2"/>
      <scheme val="minor"/>
    </font>
    <font>
      <b/>
      <sz val="9"/>
      <color rgb="FFFF0000"/>
      <name val="Arial"/>
      <scheme val="minor"/>
    </font>
    <font>
      <sz val="9"/>
      <color rgb="FF000000"/>
      <name val="Arial"/>
      <family val="2"/>
    </font>
    <font>
      <sz val="9"/>
      <color theme="7"/>
      <name val="Arial"/>
      <family val="2"/>
      <scheme val="minor"/>
    </font>
    <font>
      <sz val="11"/>
      <color rgb="FF000000"/>
      <name val="Calibri"/>
      <family val="2"/>
    </font>
    <font>
      <sz val="9"/>
      <color theme="0"/>
      <name val="Arial"/>
      <family val="2"/>
      <scheme val="minor"/>
    </font>
    <font>
      <sz val="11"/>
      <color rgb="FF0070C0"/>
      <name val="Calibri"/>
      <family val="2"/>
    </font>
    <font>
      <sz val="9"/>
      <color indexed="81"/>
      <name val="Tahoma"/>
      <charset val="1"/>
    </font>
  </fonts>
  <fills count="58">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bgColor indexed="64"/>
      </patternFill>
    </fill>
    <fill>
      <patternFill patternType="solid">
        <fgColor rgb="FFFEFFC4"/>
        <bgColor indexed="64"/>
      </patternFill>
    </fill>
    <fill>
      <patternFill patternType="solid">
        <fgColor rgb="FFD1E8B3"/>
        <bgColor indexed="64"/>
      </patternFill>
    </fill>
    <fill>
      <patternFill patternType="solid">
        <fgColor rgb="FFFFFF00"/>
        <bgColor indexed="64"/>
      </patternFill>
    </fill>
    <fill>
      <patternFill patternType="solid">
        <fgColor rgb="FF00CC00"/>
        <bgColor indexed="64"/>
      </patternFill>
    </fill>
    <fill>
      <patternFill patternType="solid">
        <fgColor rgb="FFBCE6F5"/>
        <bgColor indexed="64"/>
      </patternFill>
    </fill>
    <fill>
      <patternFill patternType="solid">
        <fgColor rgb="FF9CDAF1"/>
        <bgColor indexed="64"/>
      </patternFill>
    </fill>
    <fill>
      <patternFill patternType="solid">
        <fgColor rgb="FF9FD5EF"/>
        <bgColor indexed="64"/>
      </patternFill>
    </fill>
    <fill>
      <patternFill patternType="solid">
        <fgColor rgb="FFFF0000"/>
        <bgColor indexed="64"/>
      </patternFill>
    </fill>
    <fill>
      <patternFill patternType="solid">
        <fgColor rgb="FFFF6600"/>
        <bgColor indexed="64"/>
      </patternFill>
    </fill>
    <fill>
      <patternFill patternType="solid">
        <fgColor rgb="FF2D364C"/>
        <bgColor indexed="64"/>
      </patternFill>
    </fill>
    <fill>
      <patternFill patternType="solid">
        <fgColor rgb="FF939598"/>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rgb="FFFFC7CE"/>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99C4F7"/>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9389629810485"/>
        <bgColor indexed="64"/>
      </patternFill>
    </fill>
  </fills>
  <borders count="36">
    <border>
      <left/>
      <right/>
      <top/>
      <bottom/>
      <diagonal/>
    </border>
    <border>
      <left style="thin">
        <color rgb="FF7F7F7F"/>
      </left>
      <right style="thin">
        <color rgb="FF7F7F7F"/>
      </right>
      <top style="thin">
        <color rgb="FF7F7F7F"/>
      </top>
      <bottom style="thin">
        <color rgb="FF7F7F7F"/>
      </bottom>
      <diagonal/>
    </border>
    <border>
      <left/>
      <right/>
      <top/>
      <bottom style="medium">
        <color rgb="FF4F81BD"/>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0000CC"/>
      </left>
      <right style="thin">
        <color rgb="FF0000CC"/>
      </right>
      <top style="thin">
        <color rgb="FF0000CC"/>
      </top>
      <bottom style="thin">
        <color rgb="FF0000CC"/>
      </bottom>
      <diagonal/>
    </border>
    <border>
      <left style="thin">
        <color rgb="FF4F81BD"/>
      </left>
      <right style="thin">
        <color rgb="FF4F81BD"/>
      </right>
      <top style="thin">
        <color rgb="FF4F81BD"/>
      </top>
      <bottom style="thin">
        <color rgb="FF4F81B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s>
  <cellStyleXfs count="62">
    <xf numFmtId="0" fontId="0" fillId="0" borderId="0">
      <alignment horizontal="left" vertical="top"/>
    </xf>
    <xf numFmtId="164" fontId="2" fillId="0" borderId="0">
      <alignment horizontal="left" vertical="center"/>
    </xf>
    <xf numFmtId="165" fontId="2" fillId="0" borderId="0">
      <alignment horizontal="center" vertical="top"/>
    </xf>
    <xf numFmtId="0" fontId="14" fillId="2" borderId="0">
      <alignment horizontal="center" vertical="center"/>
    </xf>
    <xf numFmtId="0" fontId="13" fillId="38" borderId="1" applyProtection="0">
      <alignment vertical="top"/>
    </xf>
    <xf numFmtId="0" fontId="15" fillId="0" borderId="0" applyFill="0" applyBorder="0" applyProtection="0">
      <alignment vertical="top" wrapText="1"/>
    </xf>
    <xf numFmtId="0" fontId="5" fillId="34" borderId="11">
      <alignment horizontal="centerContinuous" vertical="center"/>
    </xf>
    <xf numFmtId="0" fontId="10" fillId="0" borderId="0">
      <alignment vertical="top"/>
    </xf>
    <xf numFmtId="0" fontId="16" fillId="0" borderId="0">
      <alignment vertical="top"/>
    </xf>
    <xf numFmtId="0" fontId="12" fillId="33" borderId="1" applyProtection="0">
      <alignment wrapText="1"/>
    </xf>
    <xf numFmtId="0" fontId="6" fillId="36" borderId="2">
      <alignment horizontal="centerContinuous" vertical="center"/>
    </xf>
    <xf numFmtId="0" fontId="27" fillId="0" borderId="0">
      <alignment horizontal="center" vertical="top"/>
    </xf>
    <xf numFmtId="0" fontId="28" fillId="35" borderId="12">
      <alignment horizontal="left" vertical="top" wrapText="1"/>
    </xf>
    <xf numFmtId="0" fontId="8" fillId="3" borderId="0" applyNumberFormat="0" applyBorder="0" applyAlignment="0" applyProtection="0"/>
    <xf numFmtId="0" fontId="7" fillId="4" borderId="0" applyNumberFormat="0" applyBorder="0" applyAlignment="0" applyProtection="0"/>
    <xf numFmtId="0" fontId="9" fillId="5" borderId="0" applyNumberFormat="0" applyBorder="0" applyAlignment="0" applyProtection="0"/>
    <xf numFmtId="0" fontId="12" fillId="37" borderId="1" applyNumberFormat="0" applyAlignment="0" applyProtection="0"/>
    <xf numFmtId="0" fontId="11" fillId="0" borderId="0" applyNumberFormat="0" applyFill="0" applyBorder="0" applyAlignment="0" applyProtection="0"/>
    <xf numFmtId="0" fontId="3" fillId="6" borderId="3" applyNumberFormat="0" applyFont="0" applyAlignment="0" applyProtection="0"/>
    <xf numFmtId="0" fontId="4" fillId="0" borderId="0" applyNumberFormat="0" applyFill="0" applyBorder="0" applyAlignment="0" applyProtection="0"/>
    <xf numFmtId="0" fontId="21" fillId="0" borderId="4" applyNumberFormat="0" applyFill="0" applyAlignment="0" applyProtection="0"/>
    <xf numFmtId="0" fontId="22" fillId="0" borderId="5" applyNumberFormat="0" applyFill="0" applyAlignment="0" applyProtection="0"/>
    <xf numFmtId="0" fontId="23" fillId="0" borderId="6" applyNumberFormat="0" applyFill="0" applyAlignment="0" applyProtection="0"/>
    <xf numFmtId="0" fontId="17" fillId="7" borderId="7" applyNumberFormat="0" applyAlignment="0" applyProtection="0"/>
    <xf numFmtId="0" fontId="18" fillId="7" borderId="1" applyNumberFormat="0" applyAlignment="0" applyProtection="0"/>
    <xf numFmtId="0" fontId="19" fillId="0" borderId="8" applyNumberFormat="0" applyFill="0" applyAlignment="0" applyProtection="0"/>
    <xf numFmtId="0" fontId="20" fillId="8" borderId="9" applyNumberFormat="0" applyAlignment="0" applyProtection="0"/>
    <xf numFmtId="0" fontId="24" fillId="0" borderId="10" applyNumberFormat="0" applyFill="0" applyAlignment="0" applyProtection="0"/>
    <xf numFmtId="0" fontId="26"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6" fillId="32" borderId="0" applyNumberFormat="0" applyBorder="0" applyAlignment="0" applyProtection="0"/>
    <xf numFmtId="0" fontId="29" fillId="0" borderId="0" applyNumberFormat="0" applyFill="0" applyBorder="0" applyAlignment="0" applyProtection="0"/>
    <xf numFmtId="0" fontId="31" fillId="0" borderId="0"/>
    <xf numFmtId="0" fontId="25" fillId="0" borderId="0"/>
    <xf numFmtId="0" fontId="34" fillId="41" borderId="11">
      <alignment horizontal="centerContinuous" vertical="center"/>
    </xf>
    <xf numFmtId="0" fontId="35" fillId="42" borderId="12">
      <alignment horizontal="centerContinuous" vertical="center" wrapText="1"/>
    </xf>
    <xf numFmtId="0" fontId="37" fillId="0" borderId="0">
      <alignment vertical="top"/>
    </xf>
    <xf numFmtId="0" fontId="41" fillId="37" borderId="1" applyNumberFormat="0" applyAlignment="0" applyProtection="0"/>
    <xf numFmtId="0" fontId="42" fillId="38" borderId="1" applyProtection="0">
      <alignment vertical="top"/>
    </xf>
    <xf numFmtId="0" fontId="12" fillId="10" borderId="17" applyBorder="0" applyAlignment="0">
      <alignment vertical="top" wrapText="1"/>
    </xf>
    <xf numFmtId="0" fontId="69" fillId="0" borderId="0" applyNumberFormat="0" applyFill="0" applyBorder="0" applyAlignment="0" applyProtection="0">
      <alignment horizontal="left" vertical="top"/>
    </xf>
  </cellStyleXfs>
  <cellXfs count="217">
    <xf numFmtId="0" fontId="0" fillId="0" borderId="0" xfId="0">
      <alignment horizontal="left" vertical="top"/>
    </xf>
    <xf numFmtId="0" fontId="0" fillId="0" borderId="0" xfId="0" applyAlignment="1">
      <alignment horizontal="left" vertical="top" wrapText="1"/>
    </xf>
    <xf numFmtId="0" fontId="30" fillId="0" borderId="13" xfId="0" applyFont="1" applyBorder="1" applyAlignment="1">
      <alignment horizontal="center" vertical="center"/>
    </xf>
    <xf numFmtId="49" fontId="9" fillId="5" borderId="13" xfId="15" applyNumberFormat="1" applyBorder="1" applyAlignment="1"/>
    <xf numFmtId="49" fontId="9" fillId="5" borderId="13" xfId="15" applyNumberFormat="1" applyBorder="1"/>
    <xf numFmtId="49" fontId="8" fillId="3" borderId="13" xfId="13" applyNumberFormat="1" applyBorder="1"/>
    <xf numFmtId="49" fontId="7" fillId="4" borderId="13" xfId="14" applyNumberFormat="1" applyBorder="1"/>
    <xf numFmtId="0" fontId="23" fillId="0" borderId="6" xfId="22" applyAlignment="1">
      <alignment horizontal="left" vertical="top" wrapText="1"/>
    </xf>
    <xf numFmtId="0" fontId="10" fillId="0" borderId="0" xfId="7">
      <alignment vertical="top"/>
    </xf>
    <xf numFmtId="0" fontId="33" fillId="0" borderId="0" xfId="54" applyFont="1" applyAlignment="1">
      <alignment vertical="top"/>
    </xf>
    <xf numFmtId="0" fontId="33" fillId="0" borderId="0" xfId="54" applyFont="1" applyAlignment="1">
      <alignment vertical="top" wrapText="1"/>
    </xf>
    <xf numFmtId="0" fontId="41" fillId="37" borderId="1" xfId="58" applyAlignment="1">
      <alignment vertical="top"/>
    </xf>
    <xf numFmtId="0" fontId="43" fillId="0" borderId="0" xfId="54" applyFont="1" applyAlignment="1">
      <alignment vertical="top"/>
    </xf>
    <xf numFmtId="0" fontId="44" fillId="0" borderId="0" xfId="54" applyFont="1" applyAlignment="1">
      <alignment vertical="top"/>
    </xf>
    <xf numFmtId="0" fontId="44" fillId="0" borderId="0" xfId="54" applyFont="1" applyAlignment="1">
      <alignment horizontal="center" vertical="top"/>
    </xf>
    <xf numFmtId="14" fontId="41" fillId="37" borderId="1" xfId="58" applyNumberFormat="1" applyAlignment="1">
      <alignment horizontal="center" vertical="top"/>
    </xf>
    <xf numFmtId="0" fontId="41" fillId="37" borderId="1" xfId="58" applyAlignment="1"/>
    <xf numFmtId="14" fontId="41" fillId="37" borderId="1" xfId="58" applyNumberFormat="1" applyAlignment="1">
      <alignment horizontal="center"/>
    </xf>
    <xf numFmtId="0" fontId="12" fillId="37" borderId="1" xfId="16" applyAlignment="1">
      <alignment vertical="top" wrapText="1"/>
    </xf>
    <xf numFmtId="0" fontId="12" fillId="37" borderId="1" xfId="16" applyAlignment="1">
      <alignment vertical="top"/>
    </xf>
    <xf numFmtId="0" fontId="12" fillId="37" borderId="1" xfId="16" applyAlignment="1">
      <alignment wrapText="1"/>
    </xf>
    <xf numFmtId="0" fontId="12" fillId="37" borderId="1" xfId="16" applyAlignment="1"/>
    <xf numFmtId="0" fontId="12" fillId="37" borderId="1" xfId="16" applyAlignment="1">
      <alignment horizontal="center" vertical="center" wrapText="1"/>
    </xf>
    <xf numFmtId="0" fontId="12" fillId="37" borderId="1" xfId="16" applyAlignment="1">
      <alignment vertical="center" wrapText="1"/>
    </xf>
    <xf numFmtId="0" fontId="12" fillId="37" borderId="1" xfId="16" applyAlignment="1">
      <alignment horizontal="center" vertical="center"/>
    </xf>
    <xf numFmtId="0" fontId="47" fillId="39" borderId="16" xfId="0" applyFont="1" applyFill="1" applyBorder="1" applyAlignment="1">
      <alignment horizontal="center" vertical="center" wrapText="1"/>
    </xf>
    <xf numFmtId="0" fontId="47" fillId="45" borderId="16" xfId="0" applyFont="1" applyFill="1" applyBorder="1" applyAlignment="1">
      <alignment horizontal="center" vertical="center" wrapText="1"/>
    </xf>
    <xf numFmtId="0" fontId="47" fillId="44" borderId="16" xfId="0" applyFont="1" applyFill="1" applyBorder="1" applyAlignment="1">
      <alignment horizontal="center" vertical="center" wrapText="1"/>
    </xf>
    <xf numFmtId="0" fontId="47" fillId="40" borderId="15" xfId="0" applyFont="1" applyFill="1" applyBorder="1" applyAlignment="1">
      <alignment horizontal="center" vertical="center" wrapText="1"/>
    </xf>
    <xf numFmtId="0" fontId="46" fillId="43" borderId="15" xfId="0" applyFont="1" applyFill="1" applyBorder="1" applyAlignment="1">
      <alignment vertical="center" wrapText="1"/>
    </xf>
    <xf numFmtId="0" fontId="13" fillId="38" borderId="1" xfId="4" applyAlignment="1">
      <alignment horizontal="center" vertical="center"/>
    </xf>
    <xf numFmtId="0" fontId="12" fillId="37" borderId="17" xfId="16" applyBorder="1" applyAlignment="1">
      <alignment horizontal="center" vertical="center" wrapText="1"/>
    </xf>
    <xf numFmtId="0" fontId="12" fillId="37" borderId="17" xfId="16" applyBorder="1" applyAlignment="1">
      <alignment vertical="top" wrapText="1"/>
    </xf>
    <xf numFmtId="0" fontId="12" fillId="37" borderId="17" xfId="16" applyBorder="1" applyAlignment="1">
      <alignment vertical="center" wrapText="1"/>
    </xf>
    <xf numFmtId="0" fontId="12" fillId="37" borderId="17" xfId="16" applyBorder="1" applyAlignment="1">
      <alignment vertical="top"/>
    </xf>
    <xf numFmtId="0" fontId="13" fillId="38" borderId="17" xfId="4" applyBorder="1" applyAlignment="1">
      <alignment horizontal="center" vertical="center"/>
    </xf>
    <xf numFmtId="0" fontId="41" fillId="37" borderId="17" xfId="58" applyBorder="1" applyAlignment="1">
      <alignment vertical="top" wrapText="1"/>
    </xf>
    <xf numFmtId="14" fontId="41" fillId="37" borderId="17" xfId="58" applyNumberFormat="1" applyBorder="1" applyAlignment="1">
      <alignment horizontal="center" vertical="top"/>
    </xf>
    <xf numFmtId="0" fontId="49" fillId="46" borderId="0" xfId="56" applyFont="1" applyFill="1" applyBorder="1" applyAlignment="1">
      <alignment horizontal="centerContinuous" vertical="top" wrapText="1"/>
    </xf>
    <xf numFmtId="0" fontId="33" fillId="0" borderId="0" xfId="54" applyFont="1" applyAlignment="1">
      <alignment horizontal="center" vertical="top"/>
    </xf>
    <xf numFmtId="0" fontId="48" fillId="46" borderId="18" xfId="55" applyFont="1" applyFill="1" applyBorder="1">
      <alignment horizontal="centerContinuous" vertical="center"/>
    </xf>
    <xf numFmtId="0" fontId="48" fillId="46" borderId="19" xfId="55" applyFont="1" applyFill="1" applyBorder="1">
      <alignment horizontal="centerContinuous" vertical="center"/>
    </xf>
    <xf numFmtId="0" fontId="48" fillId="46" borderId="20" xfId="55" applyFont="1" applyFill="1" applyBorder="1">
      <alignment horizontal="centerContinuous" vertical="center"/>
    </xf>
    <xf numFmtId="0" fontId="44" fillId="0" borderId="21" xfId="54" applyFont="1" applyBorder="1" applyAlignment="1">
      <alignment horizontal="center" vertical="top"/>
    </xf>
    <xf numFmtId="0" fontId="44" fillId="0" borderId="22" xfId="54" applyFont="1" applyBorder="1" applyAlignment="1">
      <alignment vertical="top"/>
    </xf>
    <xf numFmtId="0" fontId="33" fillId="0" borderId="21" xfId="54" applyFont="1" applyBorder="1" applyAlignment="1">
      <alignment horizontal="center" vertical="top"/>
    </xf>
    <xf numFmtId="0" fontId="37" fillId="0" borderId="0" xfId="57">
      <alignment vertical="top"/>
    </xf>
    <xf numFmtId="0" fontId="38" fillId="0" borderId="0" xfId="54" applyFont="1" applyAlignment="1">
      <alignment vertical="top"/>
    </xf>
    <xf numFmtId="0" fontId="39" fillId="0" borderId="0" xfId="54" applyFont="1" applyAlignment="1">
      <alignment horizontal="center" vertical="top"/>
    </xf>
    <xf numFmtId="0" fontId="31" fillId="0" borderId="0" xfId="54" applyFont="1" applyAlignment="1">
      <alignment vertical="top"/>
    </xf>
    <xf numFmtId="0" fontId="31" fillId="0" borderId="22" xfId="54" applyFont="1" applyBorder="1" applyAlignment="1">
      <alignment vertical="top"/>
    </xf>
    <xf numFmtId="0" fontId="39" fillId="0" borderId="0" xfId="54" applyFont="1" applyAlignment="1">
      <alignment vertical="top"/>
    </xf>
    <xf numFmtId="0" fontId="25" fillId="0" borderId="0" xfId="54" applyAlignment="1">
      <alignment vertical="top"/>
    </xf>
    <xf numFmtId="0" fontId="25" fillId="0" borderId="0" xfId="54" applyAlignment="1">
      <alignment vertical="top" wrapText="1"/>
    </xf>
    <xf numFmtId="0" fontId="31" fillId="0" borderId="22" xfId="54" applyFont="1" applyBorder="1" applyAlignment="1">
      <alignment horizontal="left" vertical="top" wrapText="1"/>
    </xf>
    <xf numFmtId="0" fontId="31" fillId="0" borderId="24" xfId="54" applyFont="1" applyBorder="1" applyAlignment="1">
      <alignment vertical="top"/>
    </xf>
    <xf numFmtId="0" fontId="43" fillId="0" borderId="21" xfId="54" applyFont="1" applyBorder="1" applyAlignment="1">
      <alignment horizontal="center" vertical="top"/>
    </xf>
    <xf numFmtId="0" fontId="36" fillId="0" borderId="0" xfId="54" applyFont="1" applyAlignment="1">
      <alignment vertical="top"/>
    </xf>
    <xf numFmtId="0" fontId="33" fillId="0" borderId="22" xfId="54" applyFont="1" applyBorder="1" applyAlignment="1">
      <alignment vertical="top"/>
    </xf>
    <xf numFmtId="0" fontId="43" fillId="0" borderId="22" xfId="54" applyFont="1" applyBorder="1" applyAlignment="1">
      <alignment vertical="top"/>
    </xf>
    <xf numFmtId="0" fontId="49" fillId="46" borderId="21" xfId="56" quotePrefix="1" applyFont="1" applyFill="1" applyBorder="1" applyAlignment="1">
      <alignment horizontal="centerContinuous" vertical="top" wrapText="1"/>
    </xf>
    <xf numFmtId="0" fontId="49" fillId="46" borderId="22" xfId="56" applyFont="1" applyFill="1" applyBorder="1" applyAlignment="1">
      <alignment horizontal="centerContinuous" vertical="top" wrapText="1"/>
    </xf>
    <xf numFmtId="0" fontId="25" fillId="0" borderId="21" xfId="54" applyBorder="1" applyAlignment="1">
      <alignment horizontal="center" vertical="top"/>
    </xf>
    <xf numFmtId="0" fontId="46" fillId="0" borderId="0" xfId="0" applyFont="1" applyAlignment="1">
      <alignment vertical="center" wrapText="1"/>
    </xf>
    <xf numFmtId="0" fontId="45" fillId="0" borderId="23" xfId="54" applyFont="1" applyBorder="1" applyAlignment="1">
      <alignment horizontal="center" vertical="top"/>
    </xf>
    <xf numFmtId="0" fontId="45" fillId="0" borderId="24" xfId="54" applyFont="1" applyBorder="1" applyAlignment="1">
      <alignment vertical="top"/>
    </xf>
    <xf numFmtId="0" fontId="45" fillId="0" borderId="25" xfId="54" applyFont="1" applyBorder="1" applyAlignment="1">
      <alignment vertical="top"/>
    </xf>
    <xf numFmtId="0" fontId="43" fillId="0" borderId="14" xfId="54" applyFont="1" applyBorder="1" applyAlignment="1">
      <alignment horizontal="center" vertical="top"/>
    </xf>
    <xf numFmtId="0" fontId="36" fillId="0" borderId="27" xfId="54" applyFont="1" applyBorder="1" applyAlignment="1">
      <alignment vertical="top"/>
    </xf>
    <xf numFmtId="0" fontId="31" fillId="0" borderId="27" xfId="54" applyFont="1" applyBorder="1" applyAlignment="1">
      <alignment vertical="top"/>
    </xf>
    <xf numFmtId="0" fontId="43" fillId="0" borderId="27" xfId="54" applyFont="1" applyBorder="1" applyAlignment="1">
      <alignment vertical="top"/>
    </xf>
    <xf numFmtId="0" fontId="43" fillId="0" borderId="28" xfId="54" applyFont="1" applyBorder="1" applyAlignment="1">
      <alignment vertical="top"/>
    </xf>
    <xf numFmtId="0" fontId="21" fillId="0" borderId="29" xfId="20" applyBorder="1" applyAlignment="1">
      <alignment horizontal="left" vertical="top"/>
    </xf>
    <xf numFmtId="0" fontId="22" fillId="0" borderId="29" xfId="21" applyBorder="1" applyAlignment="1">
      <alignment horizontal="left" vertical="top"/>
    </xf>
    <xf numFmtId="0" fontId="50" fillId="46" borderId="0" xfId="10" applyFont="1" applyFill="1" applyBorder="1">
      <alignment horizontal="centerContinuous" vertical="center"/>
    </xf>
    <xf numFmtId="0" fontId="28" fillId="47" borderId="30" xfId="12" applyFill="1" applyBorder="1" applyAlignment="1">
      <alignment vertical="top" wrapText="1"/>
    </xf>
    <xf numFmtId="0" fontId="28" fillId="47" borderId="30" xfId="12" applyFill="1" applyBorder="1">
      <alignment horizontal="left" vertical="top" wrapText="1"/>
    </xf>
    <xf numFmtId="0" fontId="11" fillId="37" borderId="1" xfId="16" applyFont="1" applyAlignment="1">
      <alignment wrapText="1"/>
    </xf>
    <xf numFmtId="0" fontId="11" fillId="37" borderId="1" xfId="16" applyFont="1" applyAlignment="1">
      <alignment vertical="top" wrapText="1"/>
    </xf>
    <xf numFmtId="0" fontId="12" fillId="37" borderId="1" xfId="16" applyAlignment="1">
      <alignment horizontal="left" vertical="top" wrapText="1"/>
    </xf>
    <xf numFmtId="0" fontId="12" fillId="37" borderId="1" xfId="16" applyAlignment="1">
      <alignment horizontal="left" vertical="top"/>
    </xf>
    <xf numFmtId="0" fontId="54" fillId="37" borderId="17" xfId="16" applyFont="1" applyBorder="1" applyAlignment="1">
      <alignment vertical="top" wrapText="1"/>
    </xf>
    <xf numFmtId="0" fontId="11" fillId="37" borderId="17" xfId="16" applyFont="1" applyBorder="1" applyAlignment="1">
      <alignment vertical="top" wrapText="1"/>
    </xf>
    <xf numFmtId="0" fontId="3" fillId="37" borderId="1" xfId="16" applyFont="1" applyAlignment="1">
      <alignment vertical="top" wrapText="1"/>
    </xf>
    <xf numFmtId="0" fontId="54" fillId="37" borderId="1" xfId="16" applyFont="1" applyAlignment="1">
      <alignment vertical="top" wrapText="1"/>
    </xf>
    <xf numFmtId="0" fontId="0" fillId="0" borderId="0" xfId="0" applyAlignment="1">
      <alignment horizontal="center" vertical="center" wrapText="1"/>
    </xf>
    <xf numFmtId="0" fontId="28" fillId="47" borderId="30" xfId="12" applyFill="1" applyBorder="1" applyAlignment="1">
      <alignment horizontal="center" vertical="center" wrapText="1"/>
    </xf>
    <xf numFmtId="0" fontId="12" fillId="0" borderId="17" xfId="16" applyFill="1" applyBorder="1" applyAlignment="1">
      <alignment horizontal="left" vertical="top" wrapText="1"/>
    </xf>
    <xf numFmtId="0" fontId="3" fillId="0" borderId="17" xfId="16" applyFont="1" applyFill="1" applyBorder="1" applyAlignment="1">
      <alignment horizontal="left" vertical="top" wrapText="1"/>
    </xf>
    <xf numFmtId="0" fontId="12" fillId="0" borderId="1" xfId="16" applyFill="1" applyAlignment="1">
      <alignment horizontal="left" vertical="top" wrapText="1"/>
    </xf>
    <xf numFmtId="0" fontId="54" fillId="0" borderId="17" xfId="16" applyFont="1" applyFill="1" applyBorder="1" applyAlignment="1">
      <alignment horizontal="left" vertical="top" wrapText="1"/>
    </xf>
    <xf numFmtId="0" fontId="11" fillId="0" borderId="17" xfId="16" applyFont="1" applyFill="1" applyBorder="1" applyAlignment="1">
      <alignment horizontal="left" vertical="top" wrapText="1"/>
    </xf>
    <xf numFmtId="0" fontId="61" fillId="0" borderId="17" xfId="16" applyFont="1" applyFill="1" applyBorder="1" applyAlignment="1">
      <alignment horizontal="left" vertical="top" wrapText="1"/>
    </xf>
    <xf numFmtId="0" fontId="12" fillId="0" borderId="1" xfId="16" applyFill="1" applyAlignment="1">
      <alignment horizontal="left" vertical="top"/>
    </xf>
    <xf numFmtId="0" fontId="11" fillId="0" borderId="1" xfId="16" applyFont="1" applyFill="1" applyAlignment="1">
      <alignment horizontal="left" vertical="top" wrapText="1"/>
    </xf>
    <xf numFmtId="0" fontId="62" fillId="0" borderId="1" xfId="16" applyFont="1" applyFill="1" applyAlignment="1">
      <alignment horizontal="left" vertical="top" wrapText="1"/>
    </xf>
    <xf numFmtId="0" fontId="3" fillId="0" borderId="1" xfId="16" applyFont="1" applyFill="1" applyAlignment="1">
      <alignment horizontal="left" vertical="top" wrapText="1"/>
    </xf>
    <xf numFmtId="0" fontId="28" fillId="0" borderId="17" xfId="16" applyFont="1" applyFill="1" applyBorder="1" applyAlignment="1">
      <alignment horizontal="left" vertical="top" wrapText="1"/>
    </xf>
    <xf numFmtId="0" fontId="53" fillId="0" borderId="1" xfId="16" applyFont="1" applyFill="1" applyAlignment="1">
      <alignment horizontal="left" vertical="top" wrapText="1"/>
    </xf>
    <xf numFmtId="0" fontId="16" fillId="47" borderId="30" xfId="12" applyFont="1" applyFill="1" applyBorder="1" applyAlignment="1">
      <alignment horizontal="center" vertical="center" wrapText="1"/>
    </xf>
    <xf numFmtId="0" fontId="0" fillId="0" borderId="17" xfId="16" applyFont="1" applyFill="1" applyBorder="1" applyAlignment="1">
      <alignment horizontal="left" vertical="top" wrapText="1"/>
    </xf>
    <xf numFmtId="0" fontId="12" fillId="0" borderId="17" xfId="16" applyFill="1" applyBorder="1" applyAlignment="1">
      <alignment vertical="top" wrapText="1"/>
    </xf>
    <xf numFmtId="0" fontId="54" fillId="0" borderId="1" xfId="16" applyFont="1" applyFill="1" applyAlignment="1">
      <alignment horizontal="left" vertical="top" wrapText="1"/>
    </xf>
    <xf numFmtId="0" fontId="54" fillId="0" borderId="1" xfId="16" applyFont="1" applyFill="1" applyAlignment="1">
      <alignment vertical="top" wrapText="1"/>
    </xf>
    <xf numFmtId="0" fontId="0" fillId="0" borderId="1" xfId="16" applyFont="1" applyFill="1" applyAlignment="1">
      <alignment horizontal="left" vertical="top" wrapText="1"/>
    </xf>
    <xf numFmtId="0" fontId="58" fillId="0" borderId="1" xfId="16" applyFont="1" applyFill="1" applyAlignment="1">
      <alignment horizontal="left" vertical="top" wrapText="1"/>
    </xf>
    <xf numFmtId="0" fontId="64" fillId="0" borderId="0" xfId="0" applyFont="1">
      <alignment horizontal="left" vertical="top"/>
    </xf>
    <xf numFmtId="0" fontId="0" fillId="0" borderId="13" xfId="0" applyBorder="1">
      <alignment horizontal="left" vertical="top"/>
    </xf>
    <xf numFmtId="0" fontId="11" fillId="0" borderId="13" xfId="0" applyFont="1" applyBorder="1">
      <alignment horizontal="left" vertical="top"/>
    </xf>
    <xf numFmtId="0" fontId="0" fillId="0" borderId="13" xfId="0" applyBorder="1" applyAlignment="1">
      <alignment horizontal="left" vertical="top" wrapText="1"/>
    </xf>
    <xf numFmtId="17" fontId="0" fillId="0" borderId="13" xfId="0" applyNumberFormat="1" applyBorder="1">
      <alignment horizontal="left" vertical="top"/>
    </xf>
    <xf numFmtId="14" fontId="0" fillId="0" borderId="13" xfId="0" applyNumberFormat="1" applyBorder="1">
      <alignment horizontal="left" vertical="top"/>
    </xf>
    <xf numFmtId="0" fontId="65" fillId="2" borderId="13" xfId="0" applyFont="1" applyFill="1" applyBorder="1" applyAlignment="1">
      <alignment horizontal="center" vertical="center"/>
    </xf>
    <xf numFmtId="0" fontId="65" fillId="2" borderId="13" xfId="0" applyFont="1" applyFill="1" applyBorder="1" applyAlignment="1">
      <alignment horizontal="center" vertical="center" wrapText="1"/>
    </xf>
    <xf numFmtId="0" fontId="11" fillId="0" borderId="13" xfId="0" applyFont="1" applyBorder="1" applyAlignment="1">
      <alignment horizontal="left" vertical="top" wrapText="1"/>
    </xf>
    <xf numFmtId="0" fontId="53" fillId="0" borderId="13" xfId="0" applyFont="1" applyBorder="1" applyAlignment="1">
      <alignment horizontal="left" vertical="top" wrapText="1"/>
    </xf>
    <xf numFmtId="0" fontId="12" fillId="37" borderId="17" xfId="16" applyBorder="1" applyAlignment="1">
      <alignment horizontal="left" vertical="top" wrapText="1"/>
    </xf>
    <xf numFmtId="0" fontId="13" fillId="38" borderId="17" xfId="4" applyBorder="1" applyAlignment="1">
      <alignment horizontal="left" vertical="top"/>
    </xf>
    <xf numFmtId="0" fontId="13" fillId="38" borderId="1" xfId="4" applyAlignment="1">
      <alignment horizontal="left" vertical="top"/>
    </xf>
    <xf numFmtId="14" fontId="41" fillId="37" borderId="1" xfId="58" applyNumberFormat="1" applyAlignment="1">
      <alignment horizontal="left" vertical="top"/>
    </xf>
    <xf numFmtId="0" fontId="30" fillId="0" borderId="0" xfId="0" applyFont="1" applyAlignment="1">
      <alignment horizontal="justify" vertical="center" wrapText="1"/>
    </xf>
    <xf numFmtId="0" fontId="35" fillId="47" borderId="30" xfId="12" applyFont="1" applyFill="1" applyBorder="1" applyAlignment="1">
      <alignment horizontal="justify" vertical="center" wrapText="1"/>
    </xf>
    <xf numFmtId="0" fontId="35" fillId="47" borderId="23" xfId="12" applyFont="1" applyFill="1" applyBorder="1" applyAlignment="1">
      <alignment horizontal="justify" vertical="center" wrapText="1"/>
    </xf>
    <xf numFmtId="0" fontId="25" fillId="0" borderId="0" xfId="0" applyFont="1" applyAlignment="1">
      <alignment horizontal="justify" vertical="center" wrapText="1"/>
    </xf>
    <xf numFmtId="0" fontId="67" fillId="0" borderId="0" xfId="0" applyFont="1" applyAlignment="1">
      <alignment horizontal="justify" vertical="center" wrapText="1"/>
    </xf>
    <xf numFmtId="0" fontId="66" fillId="48" borderId="30" xfId="12" applyFont="1" applyFill="1" applyBorder="1" applyAlignment="1">
      <alignment horizontal="center" vertical="center" wrapText="1"/>
    </xf>
    <xf numFmtId="14" fontId="41" fillId="0" borderId="1" xfId="58" applyNumberFormat="1" applyFill="1" applyAlignment="1">
      <alignment horizontal="left" vertical="top" wrapText="1"/>
    </xf>
    <xf numFmtId="0" fontId="12" fillId="10" borderId="26" xfId="60" applyBorder="1" applyAlignment="1">
      <alignment vertical="top"/>
    </xf>
    <xf numFmtId="0" fontId="42" fillId="38" borderId="13" xfId="59" applyBorder="1">
      <alignment vertical="top"/>
    </xf>
    <xf numFmtId="0" fontId="16" fillId="0" borderId="0" xfId="0" applyFont="1" applyAlignment="1">
      <alignment horizontal="left" vertical="top" wrapText="1"/>
    </xf>
    <xf numFmtId="0" fontId="0" fillId="0" borderId="13" xfId="0" applyBorder="1" applyAlignment="1">
      <alignment horizontal="center" vertical="center" wrapText="1"/>
    </xf>
    <xf numFmtId="0" fontId="12" fillId="0" borderId="13" xfId="0" applyFont="1" applyBorder="1" applyAlignment="1">
      <alignment horizontal="center" vertical="center" wrapText="1"/>
    </xf>
    <xf numFmtId="0" fontId="0" fillId="0" borderId="13" xfId="0" applyBorder="1" applyAlignment="1">
      <alignment horizontal="left" vertical="center" wrapText="1"/>
    </xf>
    <xf numFmtId="0" fontId="28" fillId="47" borderId="30" xfId="12" applyFill="1" applyBorder="1" applyAlignment="1">
      <alignment horizontal="left" vertical="center" textRotation="45" wrapText="1"/>
    </xf>
    <xf numFmtId="0" fontId="69" fillId="0" borderId="0" xfId="61">
      <alignment horizontal="left" vertical="top"/>
    </xf>
    <xf numFmtId="14" fontId="66" fillId="0" borderId="0" xfId="0" applyNumberFormat="1" applyFont="1" applyAlignment="1">
      <alignment horizontal="left" vertical="top" wrapText="1"/>
    </xf>
    <xf numFmtId="0" fontId="51" fillId="46" borderId="0" xfId="56" applyFont="1" applyFill="1" applyBorder="1" applyAlignment="1">
      <alignment horizontal="center" vertical="center" wrapText="1"/>
    </xf>
    <xf numFmtId="0" fontId="41" fillId="0" borderId="1" xfId="58" applyFill="1" applyAlignment="1">
      <alignment horizontal="left" vertical="top" wrapText="1"/>
    </xf>
    <xf numFmtId="0" fontId="42" fillId="0" borderId="1" xfId="59" applyFill="1">
      <alignment vertical="top"/>
    </xf>
    <xf numFmtId="0" fontId="56" fillId="0" borderId="1" xfId="58" applyFont="1" applyFill="1" applyAlignment="1">
      <alignment horizontal="left" vertical="top" wrapText="1"/>
    </xf>
    <xf numFmtId="0" fontId="56" fillId="0" borderId="1" xfId="59" applyFont="1" applyFill="1">
      <alignment vertical="top"/>
    </xf>
    <xf numFmtId="0" fontId="41" fillId="0" borderId="26" xfId="58" applyFill="1" applyBorder="1" applyAlignment="1">
      <alignment horizontal="left" vertical="top" wrapText="1"/>
    </xf>
    <xf numFmtId="0" fontId="42" fillId="0" borderId="26" xfId="59" applyFill="1" applyBorder="1">
      <alignment vertical="top"/>
    </xf>
    <xf numFmtId="0" fontId="70" fillId="49" borderId="28" xfId="0" applyFont="1" applyFill="1" applyBorder="1" applyAlignment="1">
      <alignment horizontal="left" vertical="top" wrapText="1"/>
    </xf>
    <xf numFmtId="0" fontId="70" fillId="49" borderId="13" xfId="0" applyFont="1" applyFill="1" applyBorder="1" applyAlignment="1">
      <alignment horizontal="left" vertical="top" wrapText="1"/>
    </xf>
    <xf numFmtId="0" fontId="71" fillId="49" borderId="13" xfId="0" applyFont="1" applyFill="1" applyBorder="1" applyAlignment="1">
      <alignment horizontal="left" vertical="top" wrapText="1"/>
    </xf>
    <xf numFmtId="0" fontId="74" fillId="49" borderId="13" xfId="0" applyFont="1" applyFill="1" applyBorder="1" applyAlignment="1">
      <alignment horizontal="left" vertical="top" wrapText="1"/>
    </xf>
    <xf numFmtId="0" fontId="70" fillId="48" borderId="28" xfId="0" applyFont="1" applyFill="1" applyBorder="1" applyAlignment="1">
      <alignment horizontal="left" vertical="top" wrapText="1"/>
    </xf>
    <xf numFmtId="0" fontId="70" fillId="48" borderId="13" xfId="0" applyFont="1" applyFill="1" applyBorder="1" applyAlignment="1">
      <alignment horizontal="left" vertical="top" wrapText="1"/>
    </xf>
    <xf numFmtId="0" fontId="75" fillId="48" borderId="13" xfId="0" applyFont="1" applyFill="1" applyBorder="1" applyAlignment="1">
      <alignment horizontal="left" vertical="top" wrapText="1"/>
    </xf>
    <xf numFmtId="0" fontId="77" fillId="48" borderId="13" xfId="0" applyFont="1" applyFill="1" applyBorder="1" applyAlignment="1">
      <alignment horizontal="left" vertical="top" wrapText="1"/>
    </xf>
    <xf numFmtId="0" fontId="76" fillId="48" borderId="13" xfId="0" applyFont="1" applyFill="1" applyBorder="1" applyAlignment="1">
      <alignment horizontal="left" vertical="top" wrapText="1"/>
    </xf>
    <xf numFmtId="0" fontId="74" fillId="48" borderId="13" xfId="0" applyFont="1" applyFill="1" applyBorder="1" applyAlignment="1">
      <alignment horizontal="left" vertical="top" wrapText="1"/>
    </xf>
    <xf numFmtId="0" fontId="70" fillId="50" borderId="28" xfId="0" applyFont="1" applyFill="1" applyBorder="1" applyAlignment="1">
      <alignment horizontal="left" vertical="top" wrapText="1"/>
    </xf>
    <xf numFmtId="0" fontId="70" fillId="50" borderId="13" xfId="0" applyFont="1" applyFill="1" applyBorder="1" applyAlignment="1">
      <alignment horizontal="left" vertical="top" wrapText="1"/>
    </xf>
    <xf numFmtId="0" fontId="77" fillId="50" borderId="13" xfId="0" applyFont="1" applyFill="1" applyBorder="1" applyAlignment="1">
      <alignment horizontal="left" vertical="top" wrapText="1"/>
    </xf>
    <xf numFmtId="0" fontId="70" fillId="51" borderId="28" xfId="0" applyFont="1" applyFill="1" applyBorder="1" applyAlignment="1">
      <alignment horizontal="left" vertical="top" wrapText="1"/>
    </xf>
    <xf numFmtId="0" fontId="70" fillId="51" borderId="13" xfId="0" applyFont="1" applyFill="1" applyBorder="1" applyAlignment="1">
      <alignment horizontal="left" vertical="top" wrapText="1"/>
    </xf>
    <xf numFmtId="0" fontId="75" fillId="51" borderId="13" xfId="0" applyFont="1" applyFill="1" applyBorder="1" applyAlignment="1">
      <alignment horizontal="left" vertical="top" wrapText="1"/>
    </xf>
    <xf numFmtId="0" fontId="70" fillId="52" borderId="28" xfId="0" applyFont="1" applyFill="1" applyBorder="1" applyAlignment="1">
      <alignment horizontal="left" vertical="top" wrapText="1"/>
    </xf>
    <xf numFmtId="0" fontId="70" fillId="52" borderId="13" xfId="0" applyFont="1" applyFill="1" applyBorder="1" applyAlignment="1">
      <alignment horizontal="left" vertical="top" wrapText="1"/>
    </xf>
    <xf numFmtId="0" fontId="77" fillId="52" borderId="13" xfId="0" applyFont="1" applyFill="1" applyBorder="1" applyAlignment="1">
      <alignment horizontal="left" vertical="top" wrapText="1"/>
    </xf>
    <xf numFmtId="0" fontId="70" fillId="53" borderId="28" xfId="0" applyFont="1" applyFill="1" applyBorder="1" applyAlignment="1">
      <alignment horizontal="left" vertical="top" wrapText="1"/>
    </xf>
    <xf numFmtId="0" fontId="70" fillId="53" borderId="13" xfId="0" applyFont="1" applyFill="1" applyBorder="1" applyAlignment="1">
      <alignment horizontal="left" vertical="top" wrapText="1"/>
    </xf>
    <xf numFmtId="0" fontId="75" fillId="53" borderId="13" xfId="0" applyFont="1" applyFill="1" applyBorder="1" applyAlignment="1">
      <alignment horizontal="left" vertical="top" wrapText="1"/>
    </xf>
    <xf numFmtId="0" fontId="80" fillId="51" borderId="28" xfId="0" applyFont="1" applyFill="1" applyBorder="1" applyAlignment="1">
      <alignment horizontal="left" vertical="top" wrapText="1"/>
    </xf>
    <xf numFmtId="0" fontId="80" fillId="51" borderId="13" xfId="0" applyFont="1" applyFill="1" applyBorder="1" applyAlignment="1">
      <alignment horizontal="left" vertical="top" wrapText="1"/>
    </xf>
    <xf numFmtId="0" fontId="77" fillId="51" borderId="13" xfId="0" applyFont="1" applyFill="1" applyBorder="1" applyAlignment="1">
      <alignment horizontal="left" vertical="top" wrapText="1"/>
    </xf>
    <xf numFmtId="0" fontId="75" fillId="51" borderId="28" xfId="0" applyFont="1" applyFill="1" applyBorder="1" applyAlignment="1">
      <alignment horizontal="left" vertical="top" wrapText="1"/>
    </xf>
    <xf numFmtId="0" fontId="81" fillId="54" borderId="28" xfId="0" applyFont="1" applyFill="1" applyBorder="1" applyAlignment="1">
      <alignment horizontal="left" vertical="top" wrapText="1"/>
    </xf>
    <xf numFmtId="0" fontId="81" fillId="54" borderId="13" xfId="0" applyFont="1" applyFill="1" applyBorder="1" applyAlignment="1">
      <alignment horizontal="left" vertical="top" wrapText="1"/>
    </xf>
    <xf numFmtId="0" fontId="82" fillId="54" borderId="13" xfId="0" applyFont="1" applyFill="1" applyBorder="1" applyAlignment="1">
      <alignment horizontal="left" vertical="top" wrapText="1"/>
    </xf>
    <xf numFmtId="0" fontId="70" fillId="54" borderId="28" xfId="0" applyFont="1" applyFill="1" applyBorder="1" applyAlignment="1">
      <alignment horizontal="left" vertical="top" wrapText="1"/>
    </xf>
    <xf numFmtId="0" fontId="70" fillId="54" borderId="13" xfId="0" applyFont="1" applyFill="1" applyBorder="1" applyAlignment="1">
      <alignment horizontal="left" vertical="top" wrapText="1"/>
    </xf>
    <xf numFmtId="0" fontId="70" fillId="33" borderId="28" xfId="0" applyFont="1" applyFill="1" applyBorder="1" applyAlignment="1">
      <alignment horizontal="left" vertical="top" wrapText="1"/>
    </xf>
    <xf numFmtId="0" fontId="70" fillId="33" borderId="13" xfId="0" applyFont="1" applyFill="1" applyBorder="1" applyAlignment="1">
      <alignment horizontal="left" vertical="top" wrapText="1"/>
    </xf>
    <xf numFmtId="0" fontId="75" fillId="33" borderId="13" xfId="0" applyFont="1" applyFill="1" applyBorder="1" applyAlignment="1">
      <alignment horizontal="left" vertical="top" wrapText="1"/>
    </xf>
    <xf numFmtId="0" fontId="70" fillId="55" borderId="28" xfId="0" applyFont="1" applyFill="1" applyBorder="1" applyAlignment="1">
      <alignment horizontal="left" vertical="top" wrapText="1"/>
    </xf>
    <xf numFmtId="0" fontId="70" fillId="55" borderId="13" xfId="0" applyFont="1" applyFill="1" applyBorder="1" applyAlignment="1">
      <alignment horizontal="left" vertical="top" wrapText="1"/>
    </xf>
    <xf numFmtId="0" fontId="70" fillId="56" borderId="20" xfId="0" applyFont="1" applyFill="1" applyBorder="1" applyAlignment="1">
      <alignment horizontal="left" vertical="top" wrapText="1"/>
    </xf>
    <xf numFmtId="0" fontId="70" fillId="56" borderId="31" xfId="0" applyFont="1" applyFill="1" applyBorder="1" applyAlignment="1">
      <alignment horizontal="left" vertical="top" wrapText="1"/>
    </xf>
    <xf numFmtId="0" fontId="70" fillId="56" borderId="13" xfId="0" applyFont="1" applyFill="1" applyBorder="1" applyAlignment="1">
      <alignment horizontal="left" vertical="top" wrapText="1"/>
    </xf>
    <xf numFmtId="0" fontId="83" fillId="0" borderId="17" xfId="16" applyFont="1" applyFill="1" applyBorder="1" applyAlignment="1">
      <alignment horizontal="left" vertical="top" wrapText="1"/>
    </xf>
    <xf numFmtId="0" fontId="84" fillId="0" borderId="0" xfId="0" applyFont="1" applyAlignment="1">
      <alignment horizontal="left" vertical="top" wrapText="1"/>
    </xf>
    <xf numFmtId="0" fontId="67" fillId="0" borderId="0" xfId="0" applyFont="1" applyAlignment="1">
      <alignment horizontal="left" vertical="top" wrapText="1"/>
    </xf>
    <xf numFmtId="0" fontId="11" fillId="0" borderId="0" xfId="0" applyFont="1" applyAlignment="1">
      <alignment horizontal="left" vertical="top" wrapText="1"/>
    </xf>
    <xf numFmtId="0" fontId="85" fillId="0" borderId="0" xfId="0" applyFont="1" applyAlignment="1">
      <alignment horizontal="left" vertical="top" wrapText="1"/>
    </xf>
    <xf numFmtId="0" fontId="86" fillId="0" borderId="0" xfId="0" applyFont="1" applyAlignment="1"/>
    <xf numFmtId="14" fontId="86" fillId="0" borderId="0" xfId="0" applyNumberFormat="1" applyFont="1" applyAlignment="1"/>
    <xf numFmtId="0" fontId="86" fillId="0" borderId="0" xfId="0" applyFont="1" applyAlignment="1">
      <alignment wrapText="1"/>
    </xf>
    <xf numFmtId="0" fontId="86" fillId="0" borderId="0" xfId="0" applyFont="1" applyAlignment="1">
      <alignment horizontal="center" wrapText="1"/>
    </xf>
    <xf numFmtId="0" fontId="58" fillId="0" borderId="0" xfId="0" applyFont="1" applyAlignment="1">
      <alignment horizontal="left" vertical="top" wrapText="1"/>
    </xf>
    <xf numFmtId="0" fontId="65" fillId="46" borderId="0" xfId="56" applyFont="1" applyFill="1" applyBorder="1" applyAlignment="1">
      <alignment horizontal="center" vertical="center" wrapText="1"/>
    </xf>
    <xf numFmtId="0" fontId="58" fillId="0" borderId="32" xfId="0" applyFont="1" applyBorder="1" applyAlignment="1">
      <alignment horizontal="left" vertical="top" wrapText="1"/>
    </xf>
    <xf numFmtId="0" fontId="58" fillId="0" borderId="33" xfId="0" applyFont="1" applyBorder="1" applyAlignment="1">
      <alignment horizontal="left" vertical="top" wrapText="1"/>
    </xf>
    <xf numFmtId="0" fontId="58" fillId="0" borderId="34" xfId="0" applyFont="1" applyBorder="1" applyAlignment="1">
      <alignment horizontal="left" vertical="top" wrapText="1"/>
    </xf>
    <xf numFmtId="0" fontId="58" fillId="0" borderId="35" xfId="0" applyFont="1" applyBorder="1" applyAlignment="1">
      <alignment horizontal="left" vertical="top" wrapText="1"/>
    </xf>
    <xf numFmtId="0" fontId="53" fillId="0" borderId="0" xfId="0" applyFont="1" applyAlignment="1">
      <alignment horizontal="left" vertical="top" wrapText="1"/>
    </xf>
    <xf numFmtId="0" fontId="88" fillId="0" borderId="0" xfId="0" applyFont="1" applyAlignment="1"/>
    <xf numFmtId="0" fontId="0" fillId="36" borderId="0" xfId="0" applyFill="1" applyAlignment="1">
      <alignment horizontal="left" vertical="top" wrapText="1"/>
    </xf>
    <xf numFmtId="0" fontId="86" fillId="0" borderId="0" xfId="0" applyFont="1" applyAlignment="1">
      <alignment vertical="top" wrapText="1"/>
    </xf>
    <xf numFmtId="0" fontId="69" fillId="0" borderId="0" xfId="61" applyAlignment="1">
      <alignment horizontal="left" vertical="top" wrapText="1"/>
    </xf>
    <xf numFmtId="0" fontId="50" fillId="46" borderId="0" xfId="10" applyFont="1" applyFill="1" applyBorder="1" applyAlignment="1">
      <alignment horizontal="center" vertical="center"/>
    </xf>
    <xf numFmtId="0" fontId="51" fillId="46" borderId="0" xfId="56" applyFont="1" applyFill="1" applyBorder="1" applyAlignment="1">
      <alignment horizontal="center" vertical="center" wrapText="1"/>
    </xf>
    <xf numFmtId="0" fontId="25" fillId="0" borderId="0" xfId="54" applyAlignment="1">
      <alignment vertical="top"/>
    </xf>
    <xf numFmtId="0" fontId="25" fillId="0" borderId="0" xfId="54" applyAlignment="1">
      <alignment horizontal="left" vertical="top"/>
    </xf>
    <xf numFmtId="0" fontId="49" fillId="46" borderId="21" xfId="56" applyFont="1" applyFill="1" applyBorder="1" applyAlignment="1">
      <alignment horizontal="center" vertical="center" wrapText="1"/>
    </xf>
    <xf numFmtId="0" fontId="49" fillId="46" borderId="0" xfId="56" applyFont="1" applyFill="1" applyBorder="1" applyAlignment="1">
      <alignment horizontal="center" vertical="center" wrapText="1"/>
    </xf>
    <xf numFmtId="0" fontId="49" fillId="46" borderId="22" xfId="56" applyFont="1" applyFill="1" applyBorder="1" applyAlignment="1">
      <alignment horizontal="center" vertical="center" wrapText="1"/>
    </xf>
    <xf numFmtId="0" fontId="25" fillId="0" borderId="0" xfId="54" applyAlignment="1">
      <alignment vertical="top" wrapText="1"/>
    </xf>
    <xf numFmtId="0" fontId="40" fillId="0" borderId="0" xfId="54" applyFont="1" applyAlignment="1">
      <alignment vertical="top"/>
    </xf>
    <xf numFmtId="0" fontId="87" fillId="46" borderId="0" xfId="10" applyFont="1" applyFill="1" applyBorder="1" applyAlignment="1">
      <alignment horizontal="center" vertical="center" wrapText="1"/>
    </xf>
    <xf numFmtId="0" fontId="65" fillId="46" borderId="0" xfId="56" applyFont="1" applyFill="1" applyBorder="1" applyAlignment="1">
      <alignment horizontal="center" vertical="center" wrapText="1"/>
    </xf>
    <xf numFmtId="0" fontId="50" fillId="46" borderId="0" xfId="10" applyFont="1" applyFill="1" applyBorder="1" applyAlignment="1">
      <alignment horizontal="center" vertical="center" wrapText="1"/>
    </xf>
    <xf numFmtId="0" fontId="0" fillId="0" borderId="0" xfId="0" applyAlignment="1">
      <alignment horizontal="left" vertical="top" wrapText="1"/>
    </xf>
    <xf numFmtId="0" fontId="85" fillId="0" borderId="33" xfId="0" applyFont="1" applyBorder="1" applyAlignment="1">
      <alignment horizontal="left" vertical="top" wrapText="1"/>
    </xf>
    <xf numFmtId="0" fontId="58" fillId="57" borderId="35" xfId="0" applyFont="1" applyFill="1" applyBorder="1" applyAlignment="1">
      <alignment horizontal="left" vertical="top" wrapText="1"/>
    </xf>
  </cellXfs>
  <cellStyles count="62">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4" builtinId="27" customBuiltin="1"/>
    <cellStyle name="Calculation" xfId="24" builtinId="22" hidden="1"/>
    <cellStyle name="Check Cell" xfId="26" builtinId="23" hidden="1"/>
    <cellStyle name="Check Left" xfId="1" xr:uid="{00000000-0005-0000-0000-00001B000000}"/>
    <cellStyle name="Check Up" xfId="2" xr:uid="{00000000-0005-0000-0000-00001C000000}"/>
    <cellStyle name="Data Range Instructions" xfId="3" xr:uid="{00000000-0005-0000-0000-00001E000000}"/>
    <cellStyle name="Drop Down Selection" xfId="4" xr:uid="{00000000-0005-0000-0000-00001F000000}"/>
    <cellStyle name="Drop Down Selection 2" xfId="59" xr:uid="{29D362E3-ECD2-4563-8C2F-1EF725BE9703}"/>
    <cellStyle name="Explanatory Text" xfId="19" builtinId="53" hidden="1"/>
    <cellStyle name="Good" xfId="13" builtinId="26" customBuiltin="1"/>
    <cellStyle name="Heading 1" xfId="20" builtinId="16" customBuiltin="1"/>
    <cellStyle name="Heading 2" xfId="21" builtinId="17" customBuiltin="1"/>
    <cellStyle name="Heading 3" xfId="22" builtinId="18" customBuiltin="1"/>
    <cellStyle name="Heading 4" xfId="52" builtinId="19" customBuiltin="1"/>
    <cellStyle name="Hyperlink" xfId="61" builtinId="8"/>
    <cellStyle name="Input" xfId="16" builtinId="20" customBuiltin="1"/>
    <cellStyle name="Input 2" xfId="58" xr:uid="{816C38F5-20BF-4544-AA53-034358931506}"/>
    <cellStyle name="Insert SharePoint Reference" xfId="60" xr:uid="{56E7F40F-981B-4C4C-8C8C-29874B478A16}"/>
    <cellStyle name="Instructional Text" xfId="5" xr:uid="{00000000-0005-0000-0000-000027000000}"/>
    <cellStyle name="Linked Cell" xfId="25" builtinId="24" hidden="1"/>
    <cellStyle name="Major Heading" xfId="6" xr:uid="{00000000-0005-0000-0000-000029000000}"/>
    <cellStyle name="Major Heading 2" xfId="55" xr:uid="{CECCA8AD-CE23-4879-877B-6ED71B40B0AE}"/>
    <cellStyle name="Minor Heading" xfId="7" xr:uid="{00000000-0005-0000-0000-00002A000000}"/>
    <cellStyle name="Neutral" xfId="15" builtinId="28" customBuiltin="1"/>
    <cellStyle name="Normal" xfId="0" builtinId="0" customBuiltin="1"/>
    <cellStyle name="Normal 2" xfId="54" xr:uid="{4E91449E-D46B-44D6-A9F0-B45D0B140B97}"/>
    <cellStyle name="Normal 3" xfId="53" xr:uid="{54B3A60A-5912-4B8C-9E08-63195C0AB345}"/>
    <cellStyle name="Normal Bold" xfId="8" xr:uid="{00000000-0005-0000-0000-00002D000000}"/>
    <cellStyle name="Normal Bold 2" xfId="57" xr:uid="{2F14D5E4-BA17-4A92-9642-720ADBBBB2FE}"/>
    <cellStyle name="Note" xfId="18" builtinId="10" hidden="1"/>
    <cellStyle name="Optional Data Entry" xfId="9" xr:uid="{00000000-0005-0000-0000-00002F000000}"/>
    <cellStyle name="Output" xfId="23" builtinId="21" hidden="1"/>
    <cellStyle name="Sheet Heading" xfId="10" xr:uid="{00000000-0005-0000-0000-000032000000}"/>
    <cellStyle name="Table Heading" xfId="11" xr:uid="{00000000-0005-0000-0000-000033000000}"/>
    <cellStyle name="Table Heading (Shaded)" xfId="12" xr:uid="{00000000-0005-0000-0000-000034000000}"/>
    <cellStyle name="Table Heading (Shaded) 2" xfId="56" xr:uid="{CF7A52DA-AE73-40A6-92F9-FB39398389A7}"/>
    <cellStyle name="Total" xfId="27" builtinId="25" customBuiltin="1"/>
    <cellStyle name="Warning Text" xfId="17" builtinId="11" customBuiltin="1"/>
  </cellStyles>
  <dxfs count="222">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auto="1"/>
      </font>
      <fill>
        <patternFill>
          <bgColor rgb="FFFF0000"/>
        </patternFill>
      </fill>
    </dxf>
    <dxf>
      <font>
        <b/>
        <i val="0"/>
        <color auto="1"/>
      </font>
      <fill>
        <patternFill>
          <bgColor rgb="FFFF6600"/>
        </patternFill>
      </fill>
    </dxf>
    <dxf>
      <font>
        <b/>
        <i val="0"/>
      </font>
      <fill>
        <patternFill>
          <bgColor rgb="FFFFFF00"/>
        </patternFill>
      </fill>
    </dxf>
    <dxf>
      <font>
        <b/>
        <i val="0"/>
      </font>
      <fill>
        <patternFill>
          <bgColor rgb="FF00CC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b/>
        <i val="0"/>
        <color auto="1"/>
      </font>
      <fill>
        <patternFill>
          <bgColor rgb="FFFF0000"/>
        </patternFill>
      </fill>
    </dxf>
    <dxf>
      <font>
        <b/>
        <i val="0"/>
        <color auto="1"/>
      </font>
      <fill>
        <patternFill>
          <bgColor rgb="FFFF6600"/>
        </patternFill>
      </fill>
    </dxf>
    <dxf>
      <font>
        <b/>
        <i val="0"/>
      </font>
      <fill>
        <patternFill>
          <bgColor rgb="FFFFFF00"/>
        </patternFill>
      </fill>
    </dxf>
    <dxf>
      <font>
        <b/>
        <i val="0"/>
      </font>
      <fill>
        <patternFill>
          <bgColor rgb="FF00CC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b/>
        <i val="0"/>
        <color auto="1"/>
      </font>
      <fill>
        <patternFill>
          <bgColor rgb="FFFF0000"/>
        </patternFill>
      </fill>
    </dxf>
    <dxf>
      <font>
        <b/>
        <i val="0"/>
        <color auto="1"/>
      </font>
      <fill>
        <patternFill>
          <bgColor rgb="FFFF6600"/>
        </patternFill>
      </fill>
    </dxf>
    <dxf>
      <font>
        <b/>
        <i val="0"/>
      </font>
      <fill>
        <patternFill>
          <bgColor rgb="FFFFFF00"/>
        </patternFill>
      </fill>
    </dxf>
    <dxf>
      <font>
        <b/>
        <i val="0"/>
      </font>
      <fill>
        <patternFill>
          <bgColor rgb="FF00CC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b/>
        <i val="0"/>
        <color auto="1"/>
      </font>
      <fill>
        <patternFill>
          <bgColor rgb="FFFF0000"/>
        </patternFill>
      </fill>
    </dxf>
    <dxf>
      <font>
        <b/>
        <i val="0"/>
        <color auto="1"/>
      </font>
      <fill>
        <patternFill>
          <bgColor rgb="FFFF6600"/>
        </patternFill>
      </fill>
    </dxf>
    <dxf>
      <font>
        <b/>
        <i val="0"/>
      </font>
      <fill>
        <patternFill>
          <bgColor rgb="FFFFFF00"/>
        </patternFill>
      </fill>
    </dxf>
    <dxf>
      <font>
        <b/>
        <i val="0"/>
      </font>
      <fill>
        <patternFill>
          <bgColor rgb="FF00CC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0C7FF"/>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0C7FF"/>
        </patternFill>
      </fill>
    </dxf>
    <dxf>
      <fill>
        <patternFill>
          <bgColor rgb="FFF0C7FF"/>
        </patternFill>
      </fill>
    </dxf>
    <dxf>
      <fill>
        <patternFill>
          <bgColor rgb="FFF0C7FF"/>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theme="7" tint="0.59996337778862885"/>
        </patternFill>
      </fill>
    </dxf>
    <dxf>
      <fill>
        <patternFill>
          <bgColor rgb="FFFFC7CE"/>
        </patternFill>
      </fill>
    </dxf>
    <dxf>
      <fill>
        <patternFill>
          <bgColor theme="7" tint="0.59996337778862885"/>
        </patternFill>
      </fill>
    </dxf>
    <dxf>
      <fill>
        <patternFill>
          <bgColor theme="9" tint="0.59996337778862885"/>
        </patternFill>
      </fill>
    </dxf>
    <dxf>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auto="1"/>
      </font>
      <fill>
        <patternFill>
          <bgColor rgb="FFFF0000"/>
        </patternFill>
      </fill>
    </dxf>
    <dxf>
      <font>
        <b/>
        <i val="0"/>
        <color auto="1"/>
      </font>
      <fill>
        <patternFill>
          <bgColor rgb="FFFF6600"/>
        </patternFill>
      </fill>
    </dxf>
    <dxf>
      <font>
        <b/>
        <i val="0"/>
      </font>
      <fill>
        <patternFill>
          <bgColor rgb="FFFFFF00"/>
        </patternFill>
      </fill>
    </dxf>
    <dxf>
      <font>
        <b/>
        <i val="0"/>
      </font>
      <fill>
        <patternFill>
          <bgColor rgb="FF00CC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border outline="0">
        <left style="thin">
          <color rgb="FF7F7F7F"/>
        </left>
      </border>
    </dxf>
    <dxf>
      <numFmt numFmtId="166" formatCode="d/m/yyyy"/>
      <fill>
        <patternFill patternType="none">
          <fgColor indexed="64"/>
          <bgColor auto="1"/>
        </patternFill>
      </fill>
      <alignment horizontal="left" vertical="top" textRotation="0" wrapText="1" indent="0" justifyLastLine="0" shrinkToFit="0" readingOrder="0"/>
    </dxf>
    <dxf>
      <numFmt numFmtId="166" formatCode="d/m/yyyy"/>
      <alignment horizontal="left" vertical="top" textRotation="0" wrapText="0" indent="0" justifyLastLine="0" shrinkToFit="0" readingOrder="0"/>
      <border outline="0">
        <right style="thin">
          <color rgb="FF7F7F7F"/>
        </right>
      </border>
    </dxf>
    <dxf>
      <fill>
        <patternFill patternType="none">
          <fgColor indexed="64"/>
          <bgColor auto="1"/>
        </patternFill>
      </fill>
      <alignment horizontal="left" vertical="top" textRotation="0" wrapText="0"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1"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0" indent="0" justifyLastLine="0" shrinkToFit="0" readingOrder="0"/>
      <border outline="0">
        <left style="thin">
          <color rgb="FF7F7F7F"/>
        </left>
        <right style="thin">
          <color rgb="FF7F7F7F"/>
        </right>
      </border>
    </dxf>
    <dxf>
      <fill>
        <patternFill patternType="none">
          <fgColor indexed="64"/>
          <bgColor auto="1"/>
        </patternFill>
      </fill>
      <alignment horizontal="left" vertical="top" textRotation="0" wrapText="0" indent="0" justifyLastLine="0" shrinkToFit="0" readingOrder="0"/>
      <border outline="0">
        <right style="thin">
          <color rgb="FF7F7F7F"/>
        </right>
      </border>
    </dxf>
    <dxf>
      <border outline="0">
        <bottom style="thin">
          <color rgb="FF7F7F7F"/>
        </bottom>
      </border>
    </dxf>
    <dxf>
      <border outline="0">
        <bottom style="thin">
          <color indexed="64"/>
        </bottom>
      </border>
    </dxf>
    <dxf>
      <fill>
        <patternFill patternType="solid">
          <fgColor indexed="64"/>
          <bgColor rgb="FF939598"/>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rgb="FF7F7F7F"/>
        </left>
        <right style="thin">
          <color rgb="FF7F7F7F"/>
        </right>
        <top style="thin">
          <color rgb="FF7F7F7F"/>
        </top>
        <bottom/>
        <vertical/>
        <horizontal/>
      </border>
    </dxf>
    <dxf>
      <fill>
        <patternFill patternType="none"/>
      </fill>
      <alignment horizontal="left" vertical="top" textRotation="0" wrapText="1" indent="0" justifyLastLine="0" shrinkToFit="0" readingOrder="0"/>
    </dxf>
    <dxf>
      <fill>
        <patternFill patternType="none"/>
      </fill>
    </dxf>
    <dxf>
      <fill>
        <patternFill patternType="none"/>
      </fill>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939598"/>
        </patternFill>
      </fill>
      <alignment horizontal="justify"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theme="0"/>
      </font>
      <fill>
        <patternFill>
          <bgColor theme="4"/>
        </patternFill>
      </fill>
      <border>
        <bottom style="thick">
          <color theme="5"/>
        </bottom>
      </border>
    </dxf>
    <dxf>
      <font>
        <b val="0"/>
        <i val="0"/>
      </font>
      <border>
        <bottom style="thin">
          <color theme="8"/>
        </bottom>
        <horizontal style="thin">
          <color theme="8"/>
        </horizontal>
      </border>
    </dxf>
  </dxfs>
  <tableStyles count="1" defaultTableStyle="TableStyleMedium2" defaultPivotStyle="PivotStyleLight16">
    <tableStyle name="Colliers" pivot="0" count="2" xr9:uid="{00000000-0011-0000-FFFF-FFFF00000000}">
      <tableStyleElement type="wholeTable" dxfId="221"/>
      <tableStyleElement type="headerRow" dxfId="220"/>
    </tableStyle>
  </tableStyles>
  <colors>
    <mruColors>
      <color rgb="FFFFC7CE"/>
      <color rgb="FF99C4F7"/>
      <color rgb="FFE37DE3"/>
      <color rgb="FFFFD579"/>
      <color rgb="FFFFFF00"/>
      <color rgb="FF2D364C"/>
      <color rgb="FF00CC00"/>
      <color rgb="FFFF66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wnergroup.sharepoint.com/sites/TheDownerStandard/Delivery%20Management/DG-DM-TP008%20Change%20Regi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nge Register"/>
      <sheetName val="List"/>
    </sheetNames>
    <sheetDataSet>
      <sheetData sheetId="0"/>
      <sheetData sheetId="1" refreshError="1"/>
      <sheetData sheetId="2"/>
    </sheetDataSet>
  </externalBook>
</externalLink>
</file>

<file path=xl/persons/person.xml><?xml version="1.0" encoding="utf-8"?>
<personList xmlns="http://schemas.microsoft.com/office/spreadsheetml/2018/threadedcomments" xmlns:x="http://schemas.openxmlformats.org/spreadsheetml/2006/main">
  <person displayName="Allison Brunott - AES" id="{097EF0E2-6AC7-EB46-B0F6-A07D3300A058}" userId="S::allison@appliedes.com.au::da66543b-671b-4023-84be-6122f04d3a3b" providerId="AD"/>
  <person displayName="Allison Brunott" id="{E8284CA2-6BD4-7245-986E-BAC4420886A0}" userId="S::Allison.Brunott1@Downergroup.com::5c1d0fba-c4ee-440d-88ac-b5c829bd35ee" providerId="AD"/>
  <person displayName="Richard  Kightley" id="{D6B17803-6ACA-47F5-9F14-57EF46CE565B}" userId="S::RichardKightley@dtinfrastructure.com.au::bc5fa5f8-5ab9-4327-a3ec-d700b162fec7" providerId="AD"/>
  <person displayName="Allison Brunott" id="{7B1C7AA9-14EE-DC4D-A4C8-657DE761F63A}" userId="S::allison.brunott1_downergroup.com#ext#@gamudaberhad.onmicrosoft.com::e9fed674-b91b-4624-894c-1feae15856d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FDEBFE-CCDE-5744-B050-456C1BE8D50B}" name="Table13" displayName="Table13" ref="A5:L65" totalsRowShown="0" headerRowDxfId="219" dataDxfId="217" headerRowBorderDxfId="218" tableBorderDxfId="216" totalsRowBorderDxfId="215" headerRowCellStyle="Table Heading (Shaded)">
  <autoFilter ref="A5:L65" xr:uid="{F4FDEBFE-CCDE-5744-B050-456C1BE8D50B}"/>
  <sortState xmlns:xlrd2="http://schemas.microsoft.com/office/spreadsheetml/2017/richdata2" ref="A6:L65">
    <sortCondition ref="A5:A65"/>
  </sortState>
  <tableColumns count="12">
    <tableColumn id="1" xr3:uid="{F940834D-058D-1D4E-9A8B-CCD402F97762}" name="Management Plan/ Subplan" dataDxfId="214"/>
    <tableColumn id="9" xr3:uid="{5F78FCFA-F2BD-E248-BD6B-BAF981E38CF7}" name="Project Stage" dataDxfId="213"/>
    <tableColumn id="7" xr3:uid="{6EF151B4-15DB-E04C-8BED-B560A049E956}" name="Requirement" dataDxfId="212"/>
    <tableColumn id="6" xr3:uid="{8BF3406A-D0BF-6148-8F93-13484ECCA735}" name="Source/ Reference" dataDxfId="211"/>
    <tableColumn id="3" xr3:uid="{64A05EFA-F037-E14B-8DBD-DCB17E14A2B5}" name="Compliance Action" dataDxfId="210"/>
    <tableColumn id="4" xr3:uid="{E9B39F7A-0A80-2749-9905-BF8D262D007A}" name="Timing / Frequency" dataDxfId="209"/>
    <tableColumn id="5" xr3:uid="{3A396FC0-F41A-0D49-B8A9-CFA17A0EB0E7}" name="Responsibility " dataDxfId="208"/>
    <tableColumn id="12" xr3:uid="{563AFA51-289A-5645-AF3F-45354CBC99EA}" name="Due Date" dataDxfId="207" dataCellStyle="Input 2"/>
    <tableColumn id="13" xr3:uid="{32AE5E36-3287-BB4B-B4CF-9FEA0FE1B2A7}" name="Compliance Status" dataDxfId="206" dataCellStyle="Drop Down Selection 2"/>
    <tableColumn id="14" xr3:uid="{461A7141-6761-4944-90AE-ABECE3F9C4B8}" name="Compliance Notes" dataDxfId="205" dataCellStyle="Input 2"/>
    <tableColumn id="2" xr3:uid="{4CC90B1E-5C6D-4F16-B34D-0B4DCA6D1865}" name="Compliance last reviewed" dataDxfId="204" dataCellStyle="Input 2"/>
    <tableColumn id="15" xr3:uid="{EC0551F0-0395-154D-8E67-48133CC33E84}" name="Evidence" dataDxfId="203" dataCellStyle="Input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8A27BE-8562-1F47-B50B-E38914274280}" name="Table1" displayName="Table1" ref="A5:N24" totalsRowShown="0" headerRowDxfId="202" headerRowBorderDxfId="201" tableBorderDxfId="200" headerRowCellStyle="Table Heading (Shaded)">
  <autoFilter ref="A5:N24" xr:uid="{CA8A27BE-8562-1F47-B50B-E38914274280}"/>
  <tableColumns count="14">
    <tableColumn id="1" xr3:uid="{D90EF4ED-9A4D-1B4D-A93A-9796A961AC94}" name="Project Location / Activity" dataDxfId="199" dataCellStyle="Input"/>
    <tableColumn id="2" xr3:uid="{546C2391-9097-C045-B1C2-7294367B18F6}" name="Project Stage" dataDxfId="198" dataCellStyle="Input"/>
    <tableColumn id="3" xr3:uid="{3782916F-E084-7044-908F-E88BF952AACF}" name="Compliance Matter" dataDxfId="197" dataCellStyle="Input"/>
    <tableColumn id="4" xr3:uid="{B2CAF5F7-2068-3E4F-B1FE-C947FA618215}" name="Compliance Requirement" dataDxfId="196" dataCellStyle="Input"/>
    <tableColumn id="5" xr3:uid="{73DB0915-8DBC-2748-B5CA-B2D738791628}" name="Relevant Legislation / Standard or Code" dataDxfId="195" dataCellStyle="Input"/>
    <tableColumn id="6" xr3:uid="{34194D06-6B4A-2D42-9CC1-F965E7DFB14E}" name="Practical Implementation" dataDxfId="194" dataCellStyle="Input"/>
    <tableColumn id="7" xr3:uid="{DEFFCDE2-FDF8-7C4B-B064-85D1E2E32FE8}" name="Reference" dataDxfId="193" dataCellStyle="Input"/>
    <tableColumn id="8" xr3:uid="{7B5138BA-6725-8F42-B5E7-1E2EAB6EF679}" name="Compliance Controls" dataDxfId="192" dataCellStyle="Input"/>
    <tableColumn id="9" xr3:uid="{7F6BAAB1-3525-254A-A8B8-8FF7CB04272A}" name="Responsibility" dataDxfId="191" dataCellStyle="Input"/>
    <tableColumn id="12" xr3:uid="{D080A32B-860C-8543-BA41-CA507E369F6B}" name="Due Date" dataDxfId="190" dataCellStyle="Input 2"/>
    <tableColumn id="13" xr3:uid="{C399C236-3543-044A-B4AA-74490CA4D3DB}" name="Compliance Check" dataDxfId="189" dataCellStyle="Input 2"/>
    <tableColumn id="14" xr3:uid="{C6257740-E325-D748-9D55-DF0C72CEE8AF}" name="Compliance Status" dataDxfId="188" dataCellStyle="Drop Down Selection"/>
    <tableColumn id="15" xr3:uid="{2A5B01F4-5F5C-C24D-9BDD-D843A0343249}" name="Compliance Notes" dataDxfId="187" dataCellStyle="Input"/>
    <tableColumn id="16" xr3:uid="{D17F7F6F-1EA7-AA4F-9B76-E17BE9A2FE11}" name="Evidence " dataDxfId="186" dataCellStyle="Input"/>
  </tableColumns>
  <tableStyleInfo showFirstColumn="0" showLastColumn="0" showRowStripes="1" showColumnStripes="0"/>
</table>
</file>

<file path=xl/theme/theme1.xml><?xml version="1.0" encoding="utf-8"?>
<a:theme xmlns:a="http://schemas.openxmlformats.org/drawingml/2006/main" name="Downer">
  <a:themeElements>
    <a:clrScheme name="Downer">
      <a:dk1>
        <a:sysClr val="windowText" lastClr="000000"/>
      </a:dk1>
      <a:lt1>
        <a:sysClr val="window" lastClr="FFFFFF"/>
      </a:lt1>
      <a:dk2>
        <a:srgbClr val="58595B"/>
      </a:dk2>
      <a:lt2>
        <a:srgbClr val="EEECE1"/>
      </a:lt2>
      <a:accent1>
        <a:srgbClr val="5BC2E7"/>
      </a:accent1>
      <a:accent2>
        <a:srgbClr val="006383"/>
      </a:accent2>
      <a:accent3>
        <a:srgbClr val="00ADC6"/>
      </a:accent3>
      <a:accent4>
        <a:srgbClr val="8DC640"/>
      </a:accent4>
      <a:accent5>
        <a:srgbClr val="D3D800"/>
      </a:accent5>
      <a:accent6>
        <a:srgbClr val="F2E500"/>
      </a:accent6>
      <a:hlink>
        <a:srgbClr val="5BC2E7"/>
      </a:hlink>
      <a:folHlink>
        <a:srgbClr val="5BC2E7"/>
      </a:folHlink>
    </a:clrScheme>
    <a:fontScheme name="Downer">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8" dT="2023-10-10T23:38:21.39" personId="{E8284CA2-6BD4-7245-986E-BAC4420886A0}" id="{B05B6596-C3BC-BD40-82F0-22A6241B84A5}">
    <text>Summary sheet has not been updated to include all sheets as yet, currently only totals the Specification 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E13" dT="2023-10-19T03:50:09.44" personId="{E8284CA2-6BD4-7245-986E-BAC4420886A0}" id="{5B7FE9C4-EBD9-0D4F-AB05-736254FA9E71}">
    <text>Checklist of monitoring requirements could be developed and included in Lucidity.</text>
  </threadedComment>
  <threadedComment ref="E16" dT="2023-10-19T03:50:09.44" personId="{E8284CA2-6BD4-7245-986E-BAC4420886A0}" id="{2A6EA97C-E7CD-E443-836A-5B3234AA2A82}">
    <text>Checklist of monitoring requirements could be developed and included in Lucidity.</text>
  </threadedComment>
  <threadedComment ref="E17" dT="2023-10-19T03:50:09.44" personId="{E8284CA2-6BD4-7245-986E-BAC4420886A0}" id="{4FCB6FDA-2042-124C-8788-6275A27BCC15}">
    <text>Checklist of monitoring requirements could be developed and included in Lucidity.</text>
  </threadedComment>
  <threadedComment ref="E18" dT="2023-10-19T03:50:09.44" personId="{E8284CA2-6BD4-7245-986E-BAC4420886A0}" id="{C0FC160D-304F-B146-A5FB-2ABA6012B16C}">
    <text>Checklist of monitoring requirements could be developed and included in Lucidity.</text>
  </threadedComment>
  <threadedComment ref="C26" dT="2023-10-12T04:01:03.15" personId="{097EF0E2-6AC7-EB46-B0F6-A07D3300A058}" id="{6A358F24-4BD7-4141-B1B9-54C6B3AADABA}">
    <text xml:space="preserve">Requirement for monitoring equipment in CEMP however monitoring specifics not noted. </text>
  </threadedComment>
  <threadedComment ref="G26" dT="2023-10-12T03:55:47.63" personId="{097EF0E2-6AC7-EB46-B0F6-A07D3300A058}" id="{ADB2C9B7-B81F-2B4C-BAC3-2BB50137A7D9}">
    <text>Later in the section ‘suitably qualified environmental consultant’ if used - is this air quality consultant?</text>
  </threadedComment>
  <threadedComment ref="C28" dT="2023-10-18T04:24:43.40" personId="{E8284CA2-6BD4-7245-986E-BAC4420886A0}" id="{C7CD194B-B652-8942-B6D8-21AD1F9BC7FB}">
    <text>Not explicitly ongoing monitoring or reporting but a deliverable (assessment).</text>
  </threadedComment>
  <threadedComment ref="C33" dT="2023-10-18T05:36:56.30" personId="{E8284CA2-6BD4-7245-986E-BAC4420886A0}" id="{EE94BFFF-C779-9C4A-B1B6-9775CEE0EF02}">
    <text>Note reference inspection checklist is to Downer project (WLU Warrnambool Line Upgrade).</text>
  </threadedComment>
  <threadedComment ref="C43" dT="2023-10-13T01:58:23.15" personId="{7B1C7AA9-14EE-DC4D-A4C8-657DE761F63A}" id="{F7F2946C-2BA2-4F4C-B2F5-E2C5B74BCFAB}">
    <text>Is there a project audit schedule being developed for the project?</text>
  </threadedComment>
  <threadedComment ref="F47" dT="2023-10-12T04:08:44.30" personId="{097EF0E2-6AC7-EB46-B0F6-A07D3300A058}" id="{5F9D9667-35E8-0B41-A3C2-F122093BD6B0}">
    <text>Daily inspections in Annex I of the CEMP.</text>
  </threadedComment>
</ThreadedComments>
</file>

<file path=xl/threadedComments/threadedComment3.xml><?xml version="1.0" encoding="utf-8"?>
<ThreadedComments xmlns="http://schemas.microsoft.com/office/spreadsheetml/2018/threadedcomments" xmlns:x="http://schemas.openxmlformats.org/spreadsheetml/2006/main">
  <threadedComment ref="E13" dT="2023-10-17T00:31:50.76" personId="{E8284CA2-6BD4-7245-986E-BAC4420886A0}" id="{D9BB8634-7B5A-C24B-BD0D-BB9A9069066F}">
    <text>EP Reg apply to this?</text>
  </threadedComment>
  <threadedComment ref="E14" dT="2023-10-17T00:31:50.76" personId="{E8284CA2-6BD4-7245-986E-BAC4420886A0}" id="{4E61F602-C8B4-BC42-9BFD-88628775F661}">
    <text>EP Reg apply to this?</text>
  </threadedComment>
  <threadedComment ref="E15" dT="2023-10-17T00:31:50.76" personId="{E8284CA2-6BD4-7245-986E-BAC4420886A0}" id="{882A253B-834D-7640-BD19-09D2950D8F88}">
    <text>EP Reg apply to this?</text>
  </threadedComment>
  <threadedComment ref="E18" dT="2023-10-17T00:35:28.18" personId="{E8284CA2-6BD4-7245-986E-BAC4420886A0}" id="{46F50DBC-32D6-804D-9DD8-A41B3AB7B445}">
    <text>EP Reg apply to this?</text>
  </threadedComment>
  <threadedComment ref="E19" dT="2023-10-17T00:35:28.18" personId="{E8284CA2-6BD4-7245-986E-BAC4420886A0}" id="{91ABD5DC-9BD9-4C4D-BD4C-1902331DE2A8}">
    <text>EP Reg apply to this?</text>
  </threadedComment>
</ThreadedComments>
</file>

<file path=xl/threadedComments/threadedComment4.xml><?xml version="1.0" encoding="utf-8"?>
<ThreadedComments xmlns="http://schemas.microsoft.com/office/spreadsheetml/2018/threadedcomments" xmlns:x="http://schemas.openxmlformats.org/spreadsheetml/2006/main">
  <threadedComment ref="E8" dT="2023-10-10T23:00:46.04" personId="{E8284CA2-6BD4-7245-986E-BAC4420886A0}" id="{395C3EC1-911E-7A40-A282-6EC066EDB5CD}">
    <text>Proposed control to document ADR without having to list them all within CEMP - also WI could be provided to Engineering/Construction teams to assist with planning and design requirements.</text>
  </threadedComment>
  <threadedComment ref="E9" dT="2023-10-10T23:00:46.04" personId="{E8284CA2-6BD4-7245-986E-BAC4420886A0}" id="{4AA400A5-DECD-9B4C-887C-6A091A1E51CB}">
    <text>Proposed control to document ADR without having to list them all within CEMP - also WI could be provided to Engineering/Construction teams to assist with planning and design requirements.</text>
  </threadedComment>
  <threadedComment ref="E11" dT="2023-10-10T23:00:46.04" personId="{E8284CA2-6BD4-7245-986E-BAC4420886A0}" id="{35CE4039-48D5-C34B-9E45-30DCDE47C0D2}">
    <text>Proposed control to document ADR without having to list them all within CEMP - also WI could be provided to Engineering/Construction teams to assist with planning and design requirements.</text>
  </threadedComment>
  <threadedComment ref="E12" dT="2023-10-10T23:00:46.04" personId="{E8284CA2-6BD4-7245-986E-BAC4420886A0}" id="{9819D11B-539C-9B47-8D64-816EC2D92C20}">
    <text>Proposed control to document ADR without having to list them all within CEMP - also WI could be provided to Engineering/Construction teams to assist with planning and design requirements.</text>
  </threadedComment>
</ThreadedComments>
</file>

<file path=xl/threadedComments/threadedComment5.xml><?xml version="1.0" encoding="utf-8"?>
<ThreadedComments xmlns="http://schemas.microsoft.com/office/spreadsheetml/2018/threadedcomments" xmlns:x="http://schemas.openxmlformats.org/spreadsheetml/2006/main">
  <threadedComment ref="L10" dT="2026-09-23T03:38:41.77" personId="{D6B17803-6ACA-47F5-9F14-57EF46CE565B}" id="{FCDEF7C0-BE07-49B0-B564-8FF39CD22F33}">
    <text xml:space="preserve">(the fish specialist) Aquatic Biopassage Services attended the site on the 25th of September 2025 to review and make recommendations ( Evidence MEMO: Fish Passage issue at Ormeau rail facility) </text>
  </threadedComment>
  <threadedComment ref="F11" dT="2026-09-23T03:35:44.97" personId="{D6B17803-6ACA-47F5-9F14-57EF46CE565B}" id="{65E89008-D287-411A-B3FC-7498AC9E5546}">
    <text>N/A during extended dry periods</text>
  </threadedComment>
</ThreadedComments>
</file>

<file path=xl/threadedComments/threadedComment6.xml><?xml version="1.0" encoding="utf-8"?>
<ThreadedComments xmlns="http://schemas.microsoft.com/office/spreadsheetml/2018/threadedcomments" xmlns:x="http://schemas.openxmlformats.org/spreadsheetml/2006/main">
  <threadedComment ref="L26" dT="2026-09-23T03:38:41.77" personId="{D6B17803-6ACA-47F5-9F14-57EF46CE565B}" id="{869AE216-2E45-4C54-ADF1-00D883BBE048}">
    <text xml:space="preserve">(the fish specialist) Aquatic Biopassage Services attended the site on the 25th of September 2025 to review and make recommendations ( Evidence MEMO: Fish Passage issue at Ormeau rail facility) </text>
  </threadedComment>
  <threadedComment ref="L41" dT="2026-09-23T03:38:41.77" personId="{D6B17803-6ACA-47F5-9F14-57EF46CE565B}" id="{659DD2C9-5019-4E05-9692-821CF17A189B}">
    <text xml:space="preserve">(the fish specialist) Aquatic Biopassage Services attended the site on the 25th of September 2025 to review and make recommendations ( Evidence MEMO: Fish Passage issue at Ormeau rail facility) </text>
  </threadedComment>
</ThreadedComments>
</file>

<file path=xl/threadedComments/threadedComment7.xml><?xml version="1.0" encoding="utf-8"?>
<ThreadedComments xmlns="http://schemas.microsoft.com/office/spreadsheetml/2018/threadedcomments" xmlns:x="http://schemas.openxmlformats.org/spreadsheetml/2006/main">
  <threadedComment ref="E6" dT="2023-10-10T22:48:22.18" personId="{E8284CA2-6BD4-7245-986E-BAC4420886A0}" id="{01961E94-EC14-A340-9700-C3458034639F}">
    <text>As outlined in the EMP and CEMP.</text>
  </threadedComment>
</ThreadedComments>
</file>

<file path=xl/threadedComments/threadedComment8.xml><?xml version="1.0" encoding="utf-8"?>
<ThreadedComments xmlns="http://schemas.microsoft.com/office/spreadsheetml/2018/threadedcomments" xmlns:x="http://schemas.openxmlformats.org/spreadsheetml/2006/main">
  <threadedComment ref="E6" dT="2023-10-10T23:00:46.04" personId="{E8284CA2-6BD4-7245-986E-BAC4420886A0}" id="{371DC62D-73A6-DA4E-9FEB-C771B02CFB63}">
    <text>Proposed control to document ADR without having to list them all within CEMP - also WI could be provided to Engineering/Construction teams to assist with planning and design requirements.</text>
  </threadedComment>
  <threadedComment ref="G6" dT="2023-10-10T23:39:53.31" personId="{E8284CA2-6BD4-7245-986E-BAC4420886A0}" id="{AE7A89D2-7095-1A40-9CD0-7B82762BA323}">
    <text>Risks in this sheet consistent wth DG-ZH-FM028.1 Zero Harm Risk Register - Ormeau Site Facility (reviewed 11/10/2023)</text>
  </threadedComment>
</ThreadedComments>
</file>

<file path=xl/threadedComments/threadedComment9.xml><?xml version="1.0" encoding="utf-8"?>
<ThreadedComments xmlns="http://schemas.microsoft.com/office/spreadsheetml/2018/threadedcomments" xmlns:x="http://schemas.openxmlformats.org/spreadsheetml/2006/main">
  <threadedComment ref="E13" dT="2023-10-10T22:31:59.45" personId="{E8284CA2-6BD4-7245-986E-BAC4420886A0}" id="{6688AF51-E4DA-584B-AA50-D1D46F691EF2}">
    <text>MD-15-315, MD-15-316 and MD-15-317 have not been provided to yet to include in this register.</text>
  </threadedComment>
  <threadedComment ref="E19" dT="2023-10-10T22:33:51.40" personId="{E8284CA2-6BD4-7245-986E-BAC4420886A0}" id="{24E4BC34-84FA-4F4D-8DF3-68F06F237A9E}">
    <text>Address in the Sustainability Management Plan is an assumption - unsure if IS rating items are tracked elsewhere.</text>
  </threadedComment>
  <threadedComment ref="C32" dT="2023-10-10T22:40:19.73" personId="{E8284CA2-6BD4-7245-986E-BAC4420886A0}" id="{E1032C41-F980-A640-B563-8B19B2C41132}">
    <text>General requirement in specification - underlined items most relevant to environmental requirements.</text>
  </threadedComment>
</ThreadedComments>
</file>

<file path=xl/threadedComments/threadedComment10.xml><?xml version="1.0" encoding="utf-8"?>
<ThreadedComments xmlns="http://schemas.microsoft.com/office/spreadsheetml/2018/threadedcomments" xmlns:x="http://schemas.openxmlformats.org/spreadsheetml/2006/main">
  <threadedComment ref="B4" dT="2023-10-19T04:06:11.38" personId="{E8284CA2-6BD4-7245-986E-BAC4420886A0}" id="{B5EB4E1D-B6F4-5048-AC54-5C395C178CBD}">
    <text>CMP (B) Section 13.3 Reporting and Records</text>
  </threadedComment>
  <threadedComment ref="C4" dT="2023-10-19T04:06:33.80" personId="{E8284CA2-6BD4-7245-986E-BAC4420886A0}" id="{CDC89C9E-AE66-7442-8E69-8A66A3538B43}">
    <text>CMP (B) Section 13.3 Reporting and Records</text>
  </threadedComment>
  <threadedComment ref="D4" dT="2023-10-19T04:05:13.16" personId="{E8284CA2-6BD4-7245-986E-BAC4420886A0}" id="{8166185E-19DA-AF48-9FA4-DC1B80C57029}">
    <text>CMP (B) Section 13.1</text>
  </threadedComment>
  <threadedComment ref="E4" dT="2023-10-19T04:04:30.00" personId="{E8284CA2-6BD4-7245-986E-BAC4420886A0}" id="{A563BE9F-DE84-A743-87E9-C396807A5EC4}">
    <text>EMP (D) Section 6.4 and 8.1
CEMP (B) Section 8.3</text>
  </threadedComment>
  <threadedComment ref="F4" dT="2023-10-19T04:06:56.50" personId="{E8284CA2-6BD4-7245-986E-BAC4420886A0}" id="{2436638A-B9CA-5C4F-ABD3-CB5A90488FBC}">
    <text>CMP (B) Section 15 Close Out Management</text>
  </threadedComment>
</ThreadedComments>
</file>

<file path=xl/threadedComments/threadedComment11.xml><?xml version="1.0" encoding="utf-8"?>
<ThreadedComments xmlns="http://schemas.microsoft.com/office/spreadsheetml/2018/threadedcomments" xmlns:x="http://schemas.openxmlformats.org/spreadsheetml/2006/main">
  <threadedComment ref="C15" dT="2023-10-03T04:19:23.54" personId="{E8284CA2-6BD4-7245-986E-BAC4420886A0}" id="{04D099BD-6C89-7C40-9E47-455EF5C8F58E}">
    <text>Has ecological assessment identified potential breeding places (EVNT) requiring High Risk SMP</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6.v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7.v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3" Type="http://schemas.openxmlformats.org/officeDocument/2006/relationships/hyperlink" Target="../../../../../../../../:f:/s/DTI-20151005_QTMP/IgBTb9L0aVaPRZTWpBMRRfBiAR-K1xvWVeTeTqGqOWpyC50?e=xm8pzW" TargetMode="External"/><Relationship Id="rId18" Type="http://schemas.openxmlformats.org/officeDocument/2006/relationships/hyperlink" Target="../../../../../../../../:f:/s/DTI-20151005_QTMP/IgBTb9L0aVaPRZTWpBMRRfBiAR-K1xvWVeTeTqGqOWpyC50?e=xm8pzW" TargetMode="External"/><Relationship Id="rId26" Type="http://schemas.openxmlformats.org/officeDocument/2006/relationships/hyperlink" Target="../../../../../../../../:f:/s/DTI-20151005_QTMP/IgBTb9L0aVaPRZTWpBMRRfBiAR-K1xvWVeTeTqGqOWpyC50?e=xm8pzW" TargetMode="External"/><Relationship Id="rId3" Type="http://schemas.openxmlformats.org/officeDocument/2006/relationships/hyperlink" Target="../../../../../../../../:f:/s/DTI-20151005_QTMP/IgDZYy1TbaauT6J76Odx-8BSAeileb2BW8MbIbprb-s2Rr4?e=qf3gBR" TargetMode="External"/><Relationship Id="rId21" Type="http://schemas.openxmlformats.org/officeDocument/2006/relationships/hyperlink" Target="../../../../../../../../:f:/s/DTI-20151005_QTMP/IgBTb9L0aVaPRZTWpBMRRfBiAR-K1xvWVeTeTqGqOWpyC50?e=xm8pzW" TargetMode="External"/><Relationship Id="rId34" Type="http://schemas.openxmlformats.org/officeDocument/2006/relationships/hyperlink" Target="../../../../../../../../:f:/s/DTI-20151005_QTMP/IgBTb9L0aVaPRZTWpBMRRfBiAR-K1xvWVeTeTqGqOWpyC50?e=xm8pzW" TargetMode="External"/><Relationship Id="rId7" Type="http://schemas.openxmlformats.org/officeDocument/2006/relationships/hyperlink" Target="../../../../../../../../:f:/s/DTI-20151005_QTMP/IgBGZj5MLchaS6NVszzoGHqnAewLHBIlkPWA3E314zHnqYY?e=rWf9HS" TargetMode="External"/><Relationship Id="rId12" Type="http://schemas.openxmlformats.org/officeDocument/2006/relationships/hyperlink" Target="../../../../../../../../:f:/s/DTI-20151005_QTMP/IgBTb9L0aVaPRZTWpBMRRfBiAR-K1xvWVeTeTqGqOWpyC50?e=xm8pzW" TargetMode="External"/><Relationship Id="rId17" Type="http://schemas.openxmlformats.org/officeDocument/2006/relationships/hyperlink" Target="../../../../../../../../:f:/s/DTI-20151005_QTMP/IgAdVLxqfUG2RbVad7xcDnP2AcHM8JMenGa4-9B_H3GHgK4?e=9IXdRf" TargetMode="External"/><Relationship Id="rId25" Type="http://schemas.openxmlformats.org/officeDocument/2006/relationships/hyperlink" Target="https://dtinfrastructurecomau.sharepoint.com/:x:/s/DTI-20151005_QTMP/IQD7_lqLHFGVRqJIzvAOnQDIAd8dXpmvEYxu1n0tgpus0H4?e=UHa9B7" TargetMode="External"/><Relationship Id="rId33" Type="http://schemas.openxmlformats.org/officeDocument/2006/relationships/hyperlink" Target="../../../../../../../../:f:/s/DTI-20151005_QTMP/IgAeWju85UYKRIXTFzacdTs8AU9_WS-ic1_-JguN7OP3zHg?e=baBdWt" TargetMode="External"/><Relationship Id="rId2" Type="http://schemas.openxmlformats.org/officeDocument/2006/relationships/hyperlink" Target="../../../../../../../../:f:/s/DTI-20151005_QTMP/IgAdVLxqfUG2RbVad7xcDnP2AcHM8JMenGa4-9B_H3GHgK4?e=9IXdRf" TargetMode="External"/><Relationship Id="rId16" Type="http://schemas.openxmlformats.org/officeDocument/2006/relationships/hyperlink" Target="../../../../../../../../:f:/s/DTI-20151005_QTMP/IgCeNg-uicevRq2xd7hNZdoFAfFNbJd2DArHVhGnw_2H6IE?e=Kdv3br" TargetMode="External"/><Relationship Id="rId20" Type="http://schemas.openxmlformats.org/officeDocument/2006/relationships/hyperlink" Target="../../../../../../../../:f:/s/DTI-20151005_QTMP/IgDZYy1TbaauT6J76Odx-8BSAeileb2BW8MbIbprb-s2Rr4?e=qf3gBR" TargetMode="External"/><Relationship Id="rId29" Type="http://schemas.openxmlformats.org/officeDocument/2006/relationships/hyperlink" Target="../../../../../../../../:f:/s/DTI-20151005_QTMP/IgBTb9L0aVaPRZTWpBMRRfBiAR-K1xvWVeTeTqGqOWpyC50?e=xm8pzW" TargetMode="External"/><Relationship Id="rId1" Type="http://schemas.openxmlformats.org/officeDocument/2006/relationships/hyperlink" Target="../../../../../../../../:f:/s/DTI-20151005_QTMP/IgAnc2ql6ZkHTJNYpfI3XAcQAelbfeHoMNfdJsEWisydo4U?e=1nwnv8" TargetMode="External"/><Relationship Id="rId6" Type="http://schemas.openxmlformats.org/officeDocument/2006/relationships/hyperlink" Target="https://dtinfrastructurecomau.sharepoint.com/:b:/s/DTI-20151005_QTMP/IQBnrZuCxvs_RpRFnz1NmueJAZlw0Y3v1mbnbgRLGrJT4KY?e=vEQvhf" TargetMode="External"/><Relationship Id="rId11" Type="http://schemas.openxmlformats.org/officeDocument/2006/relationships/hyperlink" Target="../../../../../../../../:f:/s/DTI-20151005_QTMP/IgBTb9L0aVaPRZTWpBMRRfBiAR-K1xvWVeTeTqGqOWpyC50?e=xm8pzW" TargetMode="External"/><Relationship Id="rId24" Type="http://schemas.openxmlformats.org/officeDocument/2006/relationships/hyperlink" Target="https://dtinfrastructurecomau.sharepoint.com/:x:/s/DTI-20151005_QTMP/IQD7_lqLHFGVRqJIzvAOnQDIAd8dXpmvEYxu1n0tgpus0H4?e=UHa9B7" TargetMode="External"/><Relationship Id="rId32" Type="http://schemas.openxmlformats.org/officeDocument/2006/relationships/hyperlink" Target="../../../../../../../../:f:/s/DTI-20151005_QTMP/IgDe07nUvwl4RrwFD4xErYN3AWf3DSmODqkFm8jlQzd3Lfg?e=GJpqzv" TargetMode="External"/><Relationship Id="rId5" Type="http://schemas.openxmlformats.org/officeDocument/2006/relationships/hyperlink" Target="https://dtinfrastructurecomau.sharepoint.com/:b:/s/DTI-20151005_QTMP/IQBnrZuCxvs_RpRFnz1NmueJAZlw0Y3v1mbnbgRLGrJT4KY?e=vEQvhf" TargetMode="External"/><Relationship Id="rId15" Type="http://schemas.openxmlformats.org/officeDocument/2006/relationships/hyperlink" Target="../../../../../../../../:f:/s/DTI-20151005_QTMP/IgBTb9L0aVaPRZTWpBMRRfBiAR-K1xvWVeTeTqGqOWpyC50?e=xm8pzW" TargetMode="External"/><Relationship Id="rId23" Type="http://schemas.openxmlformats.org/officeDocument/2006/relationships/hyperlink" Target="../../../../../../../../:f:/s/DTI-20151005_QTMP/IgCY5aVN9JqDS5aWNDUkL3KEAfSKz4NyH8ONsBbxaAjX9mI?e=7bAtP9" TargetMode="External"/><Relationship Id="rId28" Type="http://schemas.openxmlformats.org/officeDocument/2006/relationships/hyperlink" Target="../../../../../../../../:f:/s/DTI-20151005_QTMP/IgCFbnwOjNLDTZTlyr5LHA_kAZk4ZXmdGwpxZad__BB7h34?e=JQqyJS" TargetMode="External"/><Relationship Id="rId10" Type="http://schemas.openxmlformats.org/officeDocument/2006/relationships/hyperlink" Target="../../../../../../../../:f:/s/DTI-20151005_QTMP/IgBTb9L0aVaPRZTWpBMRRfBiAR-K1xvWVeTeTqGqOWpyC50?e=xm8pzW" TargetMode="External"/><Relationship Id="rId19" Type="http://schemas.openxmlformats.org/officeDocument/2006/relationships/hyperlink" Target="../../../../../../../../:f:/s/DTI-20151005_QTMP/IgBTb9L0aVaPRZTWpBMRRfBiAR-K1xvWVeTeTqGqOWpyC50?e=xm8pzW" TargetMode="External"/><Relationship Id="rId31" Type="http://schemas.openxmlformats.org/officeDocument/2006/relationships/hyperlink" Target="../../../../../../../../:f:/s/DTI-20151005_QTMP/IgBTb9L0aVaPRZTWpBMRRfBiAR-K1xvWVeTeTqGqOWpyC50?e=xm8pzW" TargetMode="External"/><Relationship Id="rId4" Type="http://schemas.openxmlformats.org/officeDocument/2006/relationships/hyperlink" Target="../../../../../../../../:f:/s/DTI-20151005_QTMP/IgDZYy1TbaauT6J76Odx-8BSAeileb2BW8MbIbprb-s2Rr4?e=qf3gBR" TargetMode="External"/><Relationship Id="rId9" Type="http://schemas.openxmlformats.org/officeDocument/2006/relationships/hyperlink" Target="../../../../../../../../:f:/s/DTI-20151005_QTMP/IgBTb9L0aVaPRZTWpBMRRfBiAR-K1xvWVeTeTqGqOWpyC50?e=xm8pzW" TargetMode="External"/><Relationship Id="rId14" Type="http://schemas.openxmlformats.org/officeDocument/2006/relationships/hyperlink" Target="../../../../../../../../:f:/s/DTI-20151005_QTMP/IgBTb9L0aVaPRZTWpBMRRfBiAR-K1xvWVeTeTqGqOWpyC50?e=xm8pzW" TargetMode="External"/><Relationship Id="rId22" Type="http://schemas.openxmlformats.org/officeDocument/2006/relationships/hyperlink" Target="../../../../../../../../:f:/s/DTI-20151005_QTMP/IgBTb9L0aVaPRZTWpBMRRfBiAR-K1xvWVeTeTqGqOWpyC50?e=xm8pzW" TargetMode="External"/><Relationship Id="rId27" Type="http://schemas.openxmlformats.org/officeDocument/2006/relationships/hyperlink" Target="../../../../../../../../:f:/s/DTI-20151005_QTMP/IgBTb9L0aVaPRZTWpBMRRfBiAR-K1xvWVeTeTqGqOWpyC50?e=xm8pzW" TargetMode="External"/><Relationship Id="rId30" Type="http://schemas.openxmlformats.org/officeDocument/2006/relationships/hyperlink" Target="https://dtinfrastructurecomau.sharepoint.com/:x:/s/DTI-20151005_QTMP/IQD7_lqLHFGVRqJIzvAOnQDIAd8dXpmvEYxu1n0tgpus0H4?e=UHa9B7" TargetMode="External"/><Relationship Id="rId8" Type="http://schemas.openxmlformats.org/officeDocument/2006/relationships/hyperlink" Target="../../../../../../../../:f:/s/DTI-20151005_QTMP/IgBTb9L0aVaPRZTWpBMRRfBiAR-K1xvWVeTeTqGqOWpyC50?e=xm8pz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f:/s/DTI-20151005_QTMP/IgBTb9L0aVaPRZTWpBMRRfBiAR-K1xvWVeTeTqGqOWpyC50?e=xm8pzW" TargetMode="External"/><Relationship Id="rId13" Type="http://schemas.openxmlformats.org/officeDocument/2006/relationships/printerSettings" Target="../printerSettings/printerSettings5.bin"/><Relationship Id="rId3" Type="http://schemas.openxmlformats.org/officeDocument/2006/relationships/hyperlink" Target="../../../../../../../../:f:/s/DTI-20151005_QTMP/IgCUPYIevMk_RZ57ODl8N38EAfC5PcZcKMnRNnE2MQa6g5o?e=LM1FYM" TargetMode="External"/><Relationship Id="rId7" Type="http://schemas.openxmlformats.org/officeDocument/2006/relationships/hyperlink" Target="https://dtinfrastructurecomau.sharepoint.com/:b:/s/DTI-20151005_QTMP/IQBnrZuCxvs_RpRFnz1NmueJAZlw0Y3v1mbnbgRLGrJT4KY?e=vEQvhf" TargetMode="External"/><Relationship Id="rId12" Type="http://schemas.openxmlformats.org/officeDocument/2006/relationships/hyperlink" Target="../../../../../../../../:f:/s/DTI-20151005_QTMP/IgBTb9L0aVaPRZTWpBMRRfBiAR-K1xvWVeTeTqGqOWpyC50?e=xm8pzW" TargetMode="External"/><Relationship Id="rId2" Type="http://schemas.openxmlformats.org/officeDocument/2006/relationships/hyperlink" Target="https://dtinfrastructurecomau.sharepoint.com/:b:/s/DTI-20151005_QTMP/IQDT4rb_IYGzRqcd8uCmASEMAfDpp6MO4MbEmcOxROkp7Pk?e=HZlqJF" TargetMode="External"/><Relationship Id="rId16" Type="http://schemas.microsoft.com/office/2017/10/relationships/threadedComment" Target="../threadedComments/threadedComment5.xml"/><Relationship Id="rId1" Type="http://schemas.openxmlformats.org/officeDocument/2006/relationships/hyperlink" Target="../../../../../../../../:f:/s/DTI-20151005_QTMP/IgAnc2ql6ZkHTJNYpfI3XAcQAelbfeHoMNfdJsEWisydo4U?e=1nwnv8" TargetMode="External"/><Relationship Id="rId6" Type="http://schemas.openxmlformats.org/officeDocument/2006/relationships/hyperlink" Target="../../../../../../../../:f:/s/DTI-20151005_QTMP/IgBTb9L0aVaPRZTWpBMRRfBiAR-K1xvWVeTeTqGqOWpyC50?e=xm8pzW" TargetMode="External"/><Relationship Id="rId11" Type="http://schemas.openxmlformats.org/officeDocument/2006/relationships/hyperlink" Target="../../../../../../../../:f:/s/DTI-20151005_QTMP/IgBTb9L0aVaPRZTWpBMRRfBiAR-K1xvWVeTeTqGqOWpyC50?e=xm8pzW" TargetMode="External"/><Relationship Id="rId5" Type="http://schemas.openxmlformats.org/officeDocument/2006/relationships/hyperlink" Target="../../../../../../../../:f:/s/DTI-20151005_QTMP/IgCeNg-uicevRq2xd7hNZdoFAfFNbJd2DArHVhGnw_2H6IE?e=Kdv3br" TargetMode="External"/><Relationship Id="rId15" Type="http://schemas.openxmlformats.org/officeDocument/2006/relationships/comments" Target="../comments6.xml"/><Relationship Id="rId10" Type="http://schemas.openxmlformats.org/officeDocument/2006/relationships/hyperlink" Target="../../../../../../../../:f:/s/DTI-20151005_QTMP/IgBTb9L0aVaPRZTWpBMRRfBiAR-K1xvWVeTeTqGqOWpyC50?e=xm8pzW" TargetMode="External"/><Relationship Id="rId4" Type="http://schemas.openxmlformats.org/officeDocument/2006/relationships/hyperlink" Target="../../../../../../../../:f:/s/DTI-20151005_QTMP/IgC9_6ylscTTQLUfc0r2PQAoAfLWUralj0nfEskS10RG9ts?e=SpMwNj" TargetMode="External"/><Relationship Id="rId9" Type="http://schemas.openxmlformats.org/officeDocument/2006/relationships/hyperlink" Target="https://dtinfrastructurecomau.sharepoint.com/:b:/s/DTI-20151005_QTMP/IQBnrZuCxvs_RpRFnz1NmueJAZlw0Y3v1mbnbgRLGrJT4KY?e=vEQvhf" TargetMode="External"/><Relationship Id="rId14" Type="http://schemas.openxmlformats.org/officeDocument/2006/relationships/vmlDrawing" Target="../drawings/vmlDrawing10.vml"/></Relationships>
</file>

<file path=xl/worksheets/_rels/sheet9.xml.rels><?xml version="1.0" encoding="UTF-8" standalone="yes"?>
<Relationships xmlns="http://schemas.openxmlformats.org/package/2006/relationships"><Relationship Id="rId13" Type="http://schemas.openxmlformats.org/officeDocument/2006/relationships/hyperlink" Target="../../../../../../../../:f:/s/DTI-20151005_QTMP/IgBTb9L0aVaPRZTWpBMRRfBiAR-K1xvWVeTeTqGqOWpyC50?e=xm8pzW" TargetMode="External"/><Relationship Id="rId18" Type="http://schemas.openxmlformats.org/officeDocument/2006/relationships/hyperlink" Target="../../../../../../../../:f:/s/DTI-20151005_QTMP/IgCeNg-uicevRq2xd7hNZdoFAfFNbJd2DArHVhGnw_2H6IE?e=Kdv3br" TargetMode="External"/><Relationship Id="rId26" Type="http://schemas.openxmlformats.org/officeDocument/2006/relationships/hyperlink" Target="../../../../../../../../:f:/s/DTI-20151005_QTMP/IgCeNg-uicevRq2xd7hNZdoFAfFNbJd2DArHVhGnw_2H6IE?e=Kdv3br" TargetMode="External"/><Relationship Id="rId3" Type="http://schemas.openxmlformats.org/officeDocument/2006/relationships/hyperlink" Target="https://dtinfrastructurecomau.sharepoint.com/:b:/s/DTI-20151005_QTMP/IQAqRM8uWFMKRb9dr00Mh9gOAbz3MJeecDj9lEy68yFqi8M?e=xEFijo" TargetMode="External"/><Relationship Id="rId21" Type="http://schemas.openxmlformats.org/officeDocument/2006/relationships/hyperlink" Target="../../../../../../../../:f:/s/DTI-20151005_QTMP/IgA840Qca9fdS4js3Nh932QpAWiAN2fTdcQQqu18IGtWfAg?e=4AhGhg" TargetMode="External"/><Relationship Id="rId34" Type="http://schemas.openxmlformats.org/officeDocument/2006/relationships/vmlDrawing" Target="../drawings/vmlDrawing12.vml"/><Relationship Id="rId7" Type="http://schemas.openxmlformats.org/officeDocument/2006/relationships/hyperlink" Target="../../../../../../../../:f:/s/DTI-20151005_QTMP/IgAnc2ql6ZkHTJNYpfI3XAcQAelbfeHoMNfdJsEWisydo4U?e=1nwnv8" TargetMode="External"/><Relationship Id="rId12" Type="http://schemas.openxmlformats.org/officeDocument/2006/relationships/hyperlink" Target="../../../../../../../../:f:/s/DTI-20151005_QTMP/IgCeNg-uicevRq2xd7hNZdoFAfFNbJd2DArHVhGnw_2H6IE?e=Kdv3br" TargetMode="External"/><Relationship Id="rId17" Type="http://schemas.openxmlformats.org/officeDocument/2006/relationships/hyperlink" Target="../../../../../../../../:f:/s/DTI-20151005_QTMP/IgBTb9L0aVaPRZTWpBMRRfBiAR-K1xvWVeTeTqGqOWpyC50?e=xm8pzW" TargetMode="External"/><Relationship Id="rId25" Type="http://schemas.openxmlformats.org/officeDocument/2006/relationships/hyperlink" Target="../../../../../../../../:f:/s/DTI-20151005_QTMP/IgBGZj5MLchaS6NVszzoGHqnAewLHBIlkPWA3E314zHnqYY?e=rWf9HS" TargetMode="External"/><Relationship Id="rId33" Type="http://schemas.openxmlformats.org/officeDocument/2006/relationships/vmlDrawing" Target="../drawings/vmlDrawing11.vml"/><Relationship Id="rId2" Type="http://schemas.openxmlformats.org/officeDocument/2006/relationships/hyperlink" Target="../../../../../../../:b:/s/DTI-20151005_QTMP/EYR25SuAvtlHg407yQ1skqMByNrIwH_vSfLUZ5z-eVL82g?e=h1buSW" TargetMode="External"/><Relationship Id="rId16" Type="http://schemas.openxmlformats.org/officeDocument/2006/relationships/hyperlink" Target="../../../../../../../../:f:/s/DTI-20151005_QTMP/IgBTb9L0aVaPRZTWpBMRRfBiAR-K1xvWVeTeTqGqOWpyC50?e=xm8pzW" TargetMode="External"/><Relationship Id="rId20" Type="http://schemas.openxmlformats.org/officeDocument/2006/relationships/hyperlink" Target="../../../../../../../../:f:/s/DTI-20151005_QTMP/IgBTb9L0aVaPRZTWpBMRRfBiAR-K1xvWVeTeTqGqOWpyC50?e=xm8pzW" TargetMode="External"/><Relationship Id="rId29" Type="http://schemas.openxmlformats.org/officeDocument/2006/relationships/hyperlink" Target="../../../../../../../../:f:/s/DTI-20151005_QTMP/IgBTb9L0aVaPRZTWpBMRRfBiAR-K1xvWVeTeTqGqOWpyC50?e=xm8pzW" TargetMode="External"/><Relationship Id="rId1" Type="http://schemas.openxmlformats.org/officeDocument/2006/relationships/hyperlink" Target="../../../../../../../:f:/r/sites/DTI-20151005_QTMP/Shared%20Documents/01-HSE%20HEALTH%20SAFETY%20%26%20ENVIRONMENT/HSE%2003%20Enviro%20Records/01_Approvals/Marine%20Plants%20Clearing%20-%20TNAR/Approval?csf=1&amp;web=1&amp;e=x3WFwg" TargetMode="External"/><Relationship Id="rId6" Type="http://schemas.openxmlformats.org/officeDocument/2006/relationships/hyperlink" Target="../../../../../../../../:f:/s/DTI-20151005_QTMP/IgBX-v2USA1MSJ41lIDzNxaOARISYfuTv-AYFRjnNelVgKc?e=AOOLiT" TargetMode="External"/><Relationship Id="rId11" Type="http://schemas.openxmlformats.org/officeDocument/2006/relationships/hyperlink" Target="../../../../../../../../:f:/s/DTI-20151005_QTMP/IgBCu3ERju4oQKtmH1KfWknPAb8yNZ-ZuptASHTMDHPVq7E?e=Jmk0Gg" TargetMode="External"/><Relationship Id="rId24" Type="http://schemas.openxmlformats.org/officeDocument/2006/relationships/hyperlink" Target="../../../../../../../../:f:/s/DTI-20151005_QTMP/IgBTb9L0aVaPRZTWpBMRRfBiAR-K1xvWVeTeTqGqOWpyC50?e=xm8pzW" TargetMode="External"/><Relationship Id="rId32" Type="http://schemas.openxmlformats.org/officeDocument/2006/relationships/printerSettings" Target="../printerSettings/printerSettings6.bin"/><Relationship Id="rId5" Type="http://schemas.openxmlformats.org/officeDocument/2006/relationships/hyperlink" Target="../../../../../../../../:f:/s/DTI-20151005_QTMP/IgASyzHFvescSKX1uSiiCGLgAdTfatv8TrFwV0Q7tCCkBxk?e=WGnUzb" TargetMode="External"/><Relationship Id="rId15" Type="http://schemas.openxmlformats.org/officeDocument/2006/relationships/hyperlink" Target="../../../../../../../../:f:/s/DTI-20151005_QTMP/IgBTb9L0aVaPRZTWpBMRRfBiAR-K1xvWVeTeTqGqOWpyC50?e=xm8pzW" TargetMode="External"/><Relationship Id="rId23" Type="http://schemas.openxmlformats.org/officeDocument/2006/relationships/hyperlink" Target="../../../../../../../../:f:/s/DTI-20151005_QTMP/IgBTb9L0aVaPRZTWpBMRRfBiAR-K1xvWVeTeTqGqOWpyC50?e=xm8pzW" TargetMode="External"/><Relationship Id="rId28" Type="http://schemas.openxmlformats.org/officeDocument/2006/relationships/hyperlink" Target="../../../../../../../../:f:/s/DTI-20151005_QTMP/IgBTb9L0aVaPRZTWpBMRRfBiAR-K1xvWVeTeTqGqOWpyC50?e=xm8pzW" TargetMode="External"/><Relationship Id="rId36" Type="http://schemas.microsoft.com/office/2017/10/relationships/threadedComment" Target="../threadedComments/threadedComment6.xml"/><Relationship Id="rId10" Type="http://schemas.openxmlformats.org/officeDocument/2006/relationships/hyperlink" Target="../../../../../../../../:f:/s/DTI-20151005_QTMP/IgA840Qca9fdS4js3Nh932QpAWiAN2fTdcQQqu18IGtWfAg?e=4AhGhg" TargetMode="External"/><Relationship Id="rId19" Type="http://schemas.openxmlformats.org/officeDocument/2006/relationships/hyperlink" Target="../../../../../../../../:f:/s/DTI-20151005_QTMP/IgBTb9L0aVaPRZTWpBMRRfBiAR-K1xvWVeTeTqGqOWpyC50?e=xm8pzW" TargetMode="External"/><Relationship Id="rId31" Type="http://schemas.openxmlformats.org/officeDocument/2006/relationships/hyperlink" Target="../../../../../../../../:f:/s/DTI-20151005_QTMP/IgBTb9L0aVaPRZTWpBMRRfBiAR-K1xvWVeTeTqGqOWpyC50?e=xm8pzW" TargetMode="External"/><Relationship Id="rId4" Type="http://schemas.openxmlformats.org/officeDocument/2006/relationships/hyperlink" Target="https://dtinfrastructurecomau.sharepoint.com/:b:/s/DTI-20151005_QTMP/IQCjMvz9IHQATZOoehPw73OsASACwjVuuFQT4M_y_JFzyAo?e=F5XQTn" TargetMode="External"/><Relationship Id="rId9" Type="http://schemas.openxmlformats.org/officeDocument/2006/relationships/hyperlink" Target="../../../../../../../../:f:/s/DTI-20151005_QTMP/IgBTb9L0aVaPRZTWpBMRRfBiAR-K1xvWVeTeTqGqOWpyC50?e=xm8pzW" TargetMode="External"/><Relationship Id="rId14" Type="http://schemas.openxmlformats.org/officeDocument/2006/relationships/hyperlink" Target="../../../../../../../../:f:/s/DTI-20151005_QTMP/IgBTb9L0aVaPRZTWpBMRRfBiAR-K1xvWVeTeTqGqOWpyC50?e=xm8pzW" TargetMode="External"/><Relationship Id="rId22" Type="http://schemas.openxmlformats.org/officeDocument/2006/relationships/hyperlink" Target="../../../../../../../../:f:/s/DTI-20151005_QTMP/IgBTb9L0aVaPRZTWpBMRRfBiAR-K1xvWVeTeTqGqOWpyC50?e=xm8pzW" TargetMode="External"/><Relationship Id="rId27" Type="http://schemas.openxmlformats.org/officeDocument/2006/relationships/hyperlink" Target="../../../../../../../../:f:/s/DTI-20151005_QTMP/IgBTb9L0aVaPRZTWpBMRRfBiAR-K1xvWVeTeTqGqOWpyC50?e=xm8pzW" TargetMode="External"/><Relationship Id="rId30" Type="http://schemas.openxmlformats.org/officeDocument/2006/relationships/hyperlink" Target="../../../../../../../../:f:/s/DTI-20151005_QTMP/IgBTb9L0aVaPRZTWpBMRRfBiAR-K1xvWVeTeTqGqOWpyC50?e=xm8pzW" TargetMode="External"/><Relationship Id="rId35" Type="http://schemas.openxmlformats.org/officeDocument/2006/relationships/comments" Target="../comments7.xml"/><Relationship Id="rId8" Type="http://schemas.openxmlformats.org/officeDocument/2006/relationships/hyperlink" Target="../../../../../../../../:f:/s/DTI-20151005_QTMP/IgAnc2ql6ZkHTJNYpfI3XAcQAelbfeHoMNfdJsEWisydo4U?e=1nwnv8" TargetMode="Externa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7.bin"/><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vmlDrawing" Target="../drawings/vmlDrawing15.vml"/><Relationship Id="rId1" Type="http://schemas.openxmlformats.org/officeDocument/2006/relationships/printerSettings" Target="../printerSettings/printerSettings8.bin"/><Relationship Id="rId5" Type="http://schemas.microsoft.com/office/2017/10/relationships/threadedComment" Target="../threadedComments/threadedComment8.xml"/><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vmlDrawing" Target="../drawings/vmlDrawing17.vml"/><Relationship Id="rId1" Type="http://schemas.openxmlformats.org/officeDocument/2006/relationships/printerSettings" Target="../printerSettings/printerSettings9.bin"/><Relationship Id="rId5" Type="http://schemas.microsoft.com/office/2017/10/relationships/threadedComment" Target="../threadedComments/threadedComment9.xml"/><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9.v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vmlDrawing" Target="../drawings/vmlDrawing20.vml"/><Relationship Id="rId1" Type="http://schemas.openxmlformats.org/officeDocument/2006/relationships/printerSettings" Target="../printerSettings/printerSettings10.bin"/><Relationship Id="rId5" Type="http://schemas.microsoft.com/office/2017/10/relationships/threadedComment" Target="../threadedComments/threadedComment11.xml"/><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E08E-14C7-45CF-9E2F-608E45314FC0}">
  <sheetPr codeName="Sheet1">
    <pageSetUpPr fitToPage="1"/>
  </sheetPr>
  <dimension ref="B1:J68"/>
  <sheetViews>
    <sheetView topLeftCell="A9" workbookViewId="0">
      <selection activeCell="P17" sqref="P17"/>
    </sheetView>
  </sheetViews>
  <sheetFormatPr defaultColWidth="8.85546875" defaultRowHeight="12.75"/>
  <cols>
    <col min="1" max="1" width="2.5703125" style="13" customWidth="1"/>
    <col min="2" max="2" width="5.140625" style="14" customWidth="1"/>
    <col min="3" max="3" width="11.140625" style="13" customWidth="1"/>
    <col min="4" max="4" width="29.85546875" style="13" customWidth="1"/>
    <col min="5" max="5" width="24" style="13" customWidth="1"/>
    <col min="6" max="6" width="16.85546875" style="13" customWidth="1"/>
    <col min="7" max="7" width="12.42578125" style="13" customWidth="1"/>
    <col min="8" max="9" width="2.85546875" style="13" customWidth="1"/>
    <col min="10" max="15" width="8.85546875" style="13"/>
    <col min="16" max="16" width="14.140625" style="13" customWidth="1"/>
    <col min="17" max="17" width="45.5703125" style="13" customWidth="1"/>
    <col min="18" max="16384" width="8.85546875" style="13"/>
  </cols>
  <sheetData>
    <row r="1" spans="2:10" s="9" customFormat="1" ht="11.25">
      <c r="B1" s="39"/>
      <c r="J1" s="10"/>
    </row>
    <row r="2" spans="2:10" s="9" customFormat="1" ht="18.75">
      <c r="B2" s="40" t="s">
        <v>0</v>
      </c>
      <c r="C2" s="41"/>
      <c r="D2" s="41"/>
      <c r="E2" s="41"/>
      <c r="F2" s="41"/>
      <c r="G2" s="41"/>
      <c r="H2" s="42"/>
      <c r="J2" s="10"/>
    </row>
    <row r="3" spans="2:10">
      <c r="B3" s="43"/>
      <c r="H3" s="44"/>
    </row>
    <row r="4" spans="2:10" s="9" customFormat="1" ht="13.35" customHeight="1">
      <c r="B4" s="206" t="s">
        <v>1</v>
      </c>
      <c r="C4" s="207"/>
      <c r="D4" s="207"/>
      <c r="E4" s="207"/>
      <c r="F4" s="207"/>
      <c r="G4" s="207"/>
      <c r="H4" s="208"/>
    </row>
    <row r="5" spans="2:10" s="9" customFormat="1" ht="11.25">
      <c r="B5" s="45"/>
      <c r="C5" s="57"/>
      <c r="D5" s="57"/>
      <c r="E5" s="57"/>
      <c r="F5" s="57"/>
      <c r="G5" s="57"/>
      <c r="H5" s="58"/>
    </row>
    <row r="6" spans="2:10" s="9" customFormat="1">
      <c r="B6" s="45"/>
      <c r="C6" s="46" t="s">
        <v>2</v>
      </c>
      <c r="D6" s="47"/>
      <c r="E6" s="48"/>
      <c r="F6" s="49"/>
      <c r="G6" s="49"/>
      <c r="H6" s="50"/>
    </row>
    <row r="7" spans="2:10" s="9" customFormat="1">
      <c r="B7" s="45"/>
      <c r="C7" s="51"/>
      <c r="E7" s="48"/>
      <c r="F7" s="49"/>
      <c r="G7" s="49"/>
      <c r="H7" s="50"/>
    </row>
    <row r="8" spans="2:10" s="9" customFormat="1">
      <c r="B8" s="45"/>
      <c r="C8" s="52"/>
      <c r="D8" s="52"/>
      <c r="E8" s="53"/>
      <c r="F8" s="53"/>
      <c r="G8" s="53"/>
      <c r="H8" s="54"/>
    </row>
    <row r="9" spans="2:10" s="9" customFormat="1" ht="27.95" customHeight="1">
      <c r="B9" s="45"/>
      <c r="C9" s="11"/>
      <c r="D9" s="52" t="s">
        <v>3</v>
      </c>
      <c r="E9" s="209" t="s">
        <v>4</v>
      </c>
      <c r="F9" s="209"/>
      <c r="G9" s="209"/>
      <c r="H9" s="54"/>
    </row>
    <row r="10" spans="2:10" s="9" customFormat="1">
      <c r="B10" s="45"/>
      <c r="C10" s="51"/>
      <c r="E10" s="48"/>
      <c r="F10" s="49"/>
      <c r="G10" s="49"/>
      <c r="H10" s="50"/>
    </row>
    <row r="11" spans="2:10" s="9" customFormat="1" ht="27.95" customHeight="1">
      <c r="B11" s="45"/>
      <c r="C11" s="128"/>
      <c r="D11" s="52" t="s">
        <v>5</v>
      </c>
      <c r="E11" s="209" t="s">
        <v>6</v>
      </c>
      <c r="F11" s="209"/>
      <c r="G11" s="209"/>
      <c r="H11" s="50"/>
    </row>
    <row r="12" spans="2:10" s="9" customFormat="1">
      <c r="B12" s="45"/>
      <c r="C12" s="51"/>
      <c r="E12" s="48"/>
      <c r="F12" s="49"/>
      <c r="G12" s="49"/>
      <c r="H12" s="50"/>
    </row>
    <row r="13" spans="2:10" s="9" customFormat="1" ht="27.95" customHeight="1">
      <c r="B13" s="45"/>
      <c r="C13" s="127"/>
      <c r="D13" s="52" t="s">
        <v>7</v>
      </c>
      <c r="E13" s="209" t="s">
        <v>8</v>
      </c>
      <c r="F13" s="209"/>
      <c r="G13" s="209"/>
      <c r="H13" s="54"/>
    </row>
    <row r="14" spans="2:10" s="12" customFormat="1">
      <c r="B14" s="67"/>
      <c r="C14" s="68"/>
      <c r="D14" s="69"/>
      <c r="E14" s="69"/>
      <c r="F14" s="70"/>
      <c r="G14" s="69"/>
      <c r="H14" s="71"/>
    </row>
    <row r="15" spans="2:10" s="12" customFormat="1">
      <c r="B15" s="56"/>
      <c r="C15" s="57"/>
      <c r="D15" s="49"/>
      <c r="E15" s="49"/>
      <c r="G15" s="49"/>
      <c r="H15" s="59"/>
    </row>
    <row r="16" spans="2:10">
      <c r="B16" s="60" t="s">
        <v>9</v>
      </c>
      <c r="C16" s="38"/>
      <c r="D16" s="38"/>
      <c r="E16" s="38"/>
      <c r="F16" s="38"/>
      <c r="G16" s="38"/>
      <c r="H16" s="61"/>
    </row>
    <row r="17" spans="2:8">
      <c r="B17" s="45"/>
      <c r="C17" s="57"/>
      <c r="D17" s="57"/>
      <c r="E17" s="57"/>
      <c r="F17" s="57"/>
      <c r="G17" s="57"/>
      <c r="H17" s="58"/>
    </row>
    <row r="18" spans="2:8" ht="26.25" customHeight="1">
      <c r="B18" s="62"/>
      <c r="C18" s="209" t="s">
        <v>10</v>
      </c>
      <c r="D18" s="209"/>
      <c r="E18" s="209"/>
      <c r="F18" s="209"/>
      <c r="G18" s="209"/>
      <c r="H18" s="59"/>
    </row>
    <row r="19" spans="2:8">
      <c r="B19" s="62"/>
      <c r="C19" s="52"/>
      <c r="D19" s="52"/>
      <c r="E19" s="52"/>
      <c r="F19" s="52"/>
      <c r="G19" s="52"/>
      <c r="H19" s="59"/>
    </row>
    <row r="20" spans="2:8" ht="13.5" customHeight="1">
      <c r="B20" s="62"/>
      <c r="C20" s="210" t="s">
        <v>11</v>
      </c>
      <c r="D20" s="210"/>
      <c r="E20" s="210"/>
      <c r="F20" s="210"/>
      <c r="G20" s="210"/>
      <c r="H20" s="59"/>
    </row>
    <row r="21" spans="2:8" ht="13.5" customHeight="1">
      <c r="B21" s="62" t="s">
        <v>12</v>
      </c>
      <c r="C21" s="204" t="s">
        <v>13</v>
      </c>
      <c r="D21" s="204"/>
      <c r="E21" s="204"/>
      <c r="F21" s="204"/>
      <c r="G21" s="204"/>
      <c r="H21" s="59"/>
    </row>
    <row r="22" spans="2:8" ht="13.5" customHeight="1">
      <c r="B22" s="62"/>
      <c r="C22" s="52"/>
      <c r="D22" s="52"/>
      <c r="E22" s="52"/>
      <c r="F22" s="52"/>
      <c r="G22" s="52"/>
      <c r="H22" s="59"/>
    </row>
    <row r="23" spans="2:8">
      <c r="B23" s="62" t="s">
        <v>12</v>
      </c>
      <c r="C23" s="205" t="s">
        <v>14</v>
      </c>
      <c r="D23" s="205"/>
      <c r="E23" s="205"/>
      <c r="F23" s="205"/>
      <c r="G23" s="52"/>
      <c r="H23" s="59"/>
    </row>
    <row r="24" spans="2:8">
      <c r="B24" s="62"/>
      <c r="C24" s="52"/>
      <c r="D24" s="52"/>
      <c r="E24" s="52"/>
      <c r="F24" s="52"/>
      <c r="G24" s="52"/>
      <c r="H24" s="59"/>
    </row>
    <row r="25" spans="2:8">
      <c r="B25" s="62" t="s">
        <v>12</v>
      </c>
      <c r="C25" s="204" t="s">
        <v>15</v>
      </c>
      <c r="D25" s="204"/>
      <c r="E25" s="204"/>
      <c r="F25" s="204"/>
      <c r="G25" s="204"/>
      <c r="H25" s="59"/>
    </row>
    <row r="26" spans="2:8">
      <c r="B26" s="62"/>
      <c r="C26" s="52"/>
      <c r="D26" s="52"/>
      <c r="E26" s="52"/>
      <c r="F26" s="52"/>
      <c r="G26" s="52"/>
      <c r="H26" s="59"/>
    </row>
    <row r="27" spans="2:8">
      <c r="B27" s="62" t="s">
        <v>12</v>
      </c>
      <c r="C27" s="204" t="s">
        <v>16</v>
      </c>
      <c r="D27" s="204"/>
      <c r="E27" s="204"/>
      <c r="F27" s="204"/>
      <c r="G27" s="204"/>
      <c r="H27" s="59"/>
    </row>
    <row r="28" spans="2:8" ht="13.5" customHeight="1" thickBot="1">
      <c r="B28" s="62"/>
      <c r="H28" s="59"/>
    </row>
    <row r="29" spans="2:8" ht="13.5" customHeight="1" thickBot="1">
      <c r="B29" s="62"/>
      <c r="C29" s="29" t="s">
        <v>17</v>
      </c>
      <c r="D29" s="63"/>
      <c r="E29" s="63"/>
      <c r="F29" s="63"/>
      <c r="G29" s="52"/>
      <c r="H29" s="59"/>
    </row>
    <row r="30" spans="2:8" ht="24.95" customHeight="1" thickBot="1">
      <c r="B30" s="62"/>
      <c r="C30" s="27" t="s">
        <v>18</v>
      </c>
      <c r="D30" s="52"/>
      <c r="E30" s="52"/>
      <c r="F30" s="52"/>
      <c r="G30" s="52"/>
      <c r="H30" s="59"/>
    </row>
    <row r="31" spans="2:8" ht="24.95" customHeight="1" thickBot="1">
      <c r="B31" s="62"/>
      <c r="C31" s="26" t="s">
        <v>19</v>
      </c>
      <c r="D31" s="52"/>
      <c r="E31" s="52"/>
      <c r="F31" s="52"/>
      <c r="G31" s="52"/>
      <c r="H31" s="59"/>
    </row>
    <row r="32" spans="2:8" ht="24.95" customHeight="1" thickBot="1">
      <c r="B32" s="62"/>
      <c r="C32" s="25" t="s">
        <v>20</v>
      </c>
      <c r="D32" s="52"/>
      <c r="E32" s="52"/>
      <c r="F32" s="52"/>
      <c r="G32" s="52"/>
      <c r="H32" s="59"/>
    </row>
    <row r="33" spans="2:8" ht="24.95" customHeight="1" thickBot="1">
      <c r="B33" s="62"/>
      <c r="C33" s="28" t="s">
        <v>21</v>
      </c>
      <c r="D33" s="52"/>
      <c r="E33" s="52"/>
      <c r="F33" s="52"/>
      <c r="G33" s="52"/>
      <c r="H33" s="59"/>
    </row>
    <row r="34" spans="2:8">
      <c r="B34" s="64"/>
      <c r="C34" s="55"/>
      <c r="D34" s="55"/>
      <c r="E34" s="55"/>
      <c r="F34" s="65"/>
      <c r="G34" s="55"/>
      <c r="H34" s="66"/>
    </row>
    <row r="41" spans="2:8" ht="9.9499999999999993" customHeight="1"/>
    <row r="42" spans="2:8" ht="9.9499999999999993" customHeight="1"/>
    <row r="43" spans="2:8" ht="9.75" customHeight="1"/>
    <row r="44" spans="2:8" ht="9.9499999999999993" customHeight="1"/>
    <row r="45" spans="2:8" ht="9.9499999999999993" customHeight="1"/>
    <row r="46" spans="2:8" ht="9.9499999999999993" customHeight="1"/>
    <row r="47" spans="2:8" ht="9.9499999999999993" customHeight="1"/>
    <row r="48" spans="2:8" ht="9.9499999999999993" customHeight="1"/>
    <row r="49" ht="9.9499999999999993" customHeight="1"/>
    <row r="50" ht="9.9499999999999993" customHeight="1"/>
    <row r="51" ht="9.9499999999999993" customHeight="1"/>
    <row r="52" ht="9.9499999999999993" customHeight="1"/>
    <row r="53" ht="9.9499999999999993" customHeight="1"/>
    <row r="54" ht="9.9499999999999993" customHeight="1"/>
    <row r="55" ht="9.9499999999999993" customHeight="1"/>
    <row r="56" ht="9.9499999999999993" customHeight="1"/>
    <row r="57" ht="9.9499999999999993" customHeight="1"/>
    <row r="58" ht="9.9499999999999993" customHeight="1"/>
    <row r="59" ht="9.9499999999999993" customHeight="1"/>
    <row r="60" ht="9.9499999999999993" customHeight="1"/>
    <row r="61" ht="9.9499999999999993" customHeight="1"/>
    <row r="62" ht="9.9499999999999993" customHeight="1"/>
    <row r="63" ht="9.9499999999999993" customHeight="1"/>
    <row r="64" ht="9.9499999999999993" customHeight="1"/>
    <row r="65" ht="9.9499999999999993" customHeight="1"/>
    <row r="66" ht="9.9499999999999993" customHeight="1"/>
    <row r="67" ht="9.9499999999999993" customHeight="1"/>
    <row r="68" ht="9.9499999999999993" customHeight="1"/>
  </sheetData>
  <mergeCells count="10">
    <mergeCell ref="C25:G25"/>
    <mergeCell ref="C23:F23"/>
    <mergeCell ref="C21:G21"/>
    <mergeCell ref="C27:G27"/>
    <mergeCell ref="B4:H4"/>
    <mergeCell ref="E9:G9"/>
    <mergeCell ref="E13:G13"/>
    <mergeCell ref="C18:G18"/>
    <mergeCell ref="C20:G20"/>
    <mergeCell ref="E11:G11"/>
  </mergeCells>
  <printOptions horizontalCentered="1"/>
  <pageMargins left="0.59055118110236227" right="0.59055118110236227" top="1.2598425196850394" bottom="0.74803149606299213" header="0.51181102362204722" footer="0.31496062992125984"/>
  <pageSetup paperSize="9" scale="93" fitToHeight="0" orientation="portrait" r:id="rId1"/>
  <headerFooter>
    <oddHeader>&amp;L&amp;G&amp;R&amp;"Arial,Bold"&amp;16Enviromental Compliance Obigations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632C-123E-8E44-9CA6-34F1175C5B9C}">
  <sheetPr>
    <pageSetUpPr fitToPage="1"/>
  </sheetPr>
  <dimension ref="A2:L19"/>
  <sheetViews>
    <sheetView workbookViewId="0"/>
  </sheetViews>
  <sheetFormatPr defaultColWidth="11" defaultRowHeight="12"/>
  <cols>
    <col min="1" max="4" width="20.140625" style="1" customWidth="1"/>
    <col min="5" max="5" width="22.42578125" style="1" customWidth="1"/>
    <col min="6" max="6" width="20.140625" style="1" customWidth="1"/>
    <col min="7" max="7" width="14.42578125" style="1" customWidth="1"/>
    <col min="8" max="8" width="20.140625" style="1" customWidth="1"/>
    <col min="9" max="10" width="13" style="1" customWidth="1"/>
    <col min="11" max="11" width="14.140625" style="1" customWidth="1"/>
    <col min="12" max="12" width="13" style="1" customWidth="1"/>
    <col min="13" max="16384" width="11" style="1"/>
  </cols>
  <sheetData>
    <row r="2" spans="1:12" ht="24.75">
      <c r="A2" s="202" t="s">
        <v>9</v>
      </c>
      <c r="B2" s="202"/>
      <c r="C2" s="202"/>
      <c r="D2" s="202"/>
      <c r="E2" s="202"/>
      <c r="F2" s="202"/>
      <c r="G2" s="202"/>
      <c r="H2" s="202"/>
      <c r="I2" s="202"/>
      <c r="J2" s="202"/>
      <c r="K2" s="202"/>
      <c r="L2" s="202"/>
    </row>
    <row r="4" spans="1:12" ht="20.25" customHeight="1">
      <c r="A4" s="203" t="s">
        <v>22</v>
      </c>
      <c r="B4" s="203"/>
      <c r="C4" s="203"/>
      <c r="D4" s="203"/>
      <c r="E4" s="203"/>
      <c r="F4" s="203"/>
      <c r="G4" s="203" t="s">
        <v>23</v>
      </c>
      <c r="H4" s="203"/>
      <c r="I4" s="203"/>
      <c r="J4" s="203" t="s">
        <v>24</v>
      </c>
      <c r="K4" s="203"/>
      <c r="L4" s="203"/>
    </row>
    <row r="5" spans="1:12" ht="24">
      <c r="A5" s="75" t="s">
        <v>25</v>
      </c>
      <c r="B5" s="75" t="s">
        <v>26</v>
      </c>
      <c r="C5" s="75" t="s">
        <v>27</v>
      </c>
      <c r="D5" s="75" t="s">
        <v>28</v>
      </c>
      <c r="E5" s="75" t="s">
        <v>29</v>
      </c>
      <c r="F5" s="75" t="s">
        <v>30</v>
      </c>
      <c r="G5" s="76" t="s">
        <v>31</v>
      </c>
      <c r="H5" s="76" t="s">
        <v>32</v>
      </c>
      <c r="I5" s="76" t="s">
        <v>33</v>
      </c>
      <c r="J5" s="76" t="s">
        <v>24</v>
      </c>
      <c r="K5" s="76" t="s">
        <v>34</v>
      </c>
      <c r="L5" s="76" t="s">
        <v>35</v>
      </c>
    </row>
    <row r="6" spans="1:12" ht="20.100000000000001" customHeight="1">
      <c r="A6" s="31"/>
      <c r="B6" s="31"/>
      <c r="C6" s="32"/>
      <c r="D6" s="32"/>
      <c r="E6" s="33"/>
      <c r="F6" s="34"/>
      <c r="G6" s="35"/>
      <c r="H6" s="36"/>
      <c r="I6" s="37"/>
      <c r="J6" s="35"/>
      <c r="K6" s="32"/>
      <c r="L6" s="32"/>
    </row>
    <row r="7" spans="1:12" ht="20.100000000000001" customHeight="1">
      <c r="A7" s="22"/>
      <c r="B7" s="22"/>
      <c r="C7" s="18"/>
      <c r="D7" s="18"/>
      <c r="E7" s="23"/>
      <c r="F7" s="19"/>
      <c r="G7" s="30"/>
      <c r="H7" s="11"/>
      <c r="I7" s="15"/>
      <c r="J7" s="30"/>
      <c r="K7" s="18"/>
      <c r="L7" s="19"/>
    </row>
    <row r="8" spans="1:12" ht="20.100000000000001" customHeight="1">
      <c r="A8" s="24"/>
      <c r="B8" s="24"/>
      <c r="C8" s="20"/>
      <c r="D8" s="20"/>
      <c r="E8" s="23"/>
      <c r="F8" s="21"/>
      <c r="G8" s="30"/>
      <c r="H8" s="16"/>
      <c r="I8" s="17"/>
      <c r="J8" s="30"/>
      <c r="K8" s="20"/>
      <c r="L8" s="21"/>
    </row>
    <row r="9" spans="1:12" ht="20.100000000000001" customHeight="1">
      <c r="A9" s="24"/>
      <c r="B9" s="24"/>
      <c r="C9" s="20"/>
      <c r="D9" s="20"/>
      <c r="E9" s="23"/>
      <c r="F9" s="21"/>
      <c r="G9" s="30"/>
      <c r="H9" s="16"/>
      <c r="I9" s="17"/>
      <c r="J9" s="30"/>
      <c r="K9" s="20"/>
      <c r="L9" s="21"/>
    </row>
    <row r="10" spans="1:12" ht="20.100000000000001" customHeight="1">
      <c r="A10" s="24"/>
      <c r="B10" s="24"/>
      <c r="C10" s="20"/>
      <c r="D10" s="20"/>
      <c r="E10" s="23"/>
      <c r="F10" s="21"/>
      <c r="G10" s="30"/>
      <c r="H10" s="16"/>
      <c r="I10" s="17"/>
      <c r="J10" s="30"/>
      <c r="K10" s="20"/>
      <c r="L10" s="21"/>
    </row>
    <row r="11" spans="1:12" ht="20.100000000000001" customHeight="1">
      <c r="A11" s="24"/>
      <c r="B11" s="24"/>
      <c r="C11" s="20"/>
      <c r="D11" s="20"/>
      <c r="E11" s="23"/>
      <c r="F11" s="21"/>
      <c r="G11" s="30"/>
      <c r="H11" s="16"/>
      <c r="I11" s="17"/>
      <c r="J11" s="30"/>
      <c r="K11" s="20"/>
      <c r="L11" s="21"/>
    </row>
    <row r="12" spans="1:12" ht="20.100000000000001" customHeight="1">
      <c r="A12" s="24"/>
      <c r="B12" s="24"/>
      <c r="C12" s="20"/>
      <c r="D12" s="20"/>
      <c r="E12" s="23"/>
      <c r="F12" s="21"/>
      <c r="G12" s="30"/>
      <c r="H12" s="16"/>
      <c r="I12" s="17"/>
      <c r="J12" s="30"/>
      <c r="K12" s="20"/>
      <c r="L12" s="21"/>
    </row>
    <row r="13" spans="1:12" ht="20.100000000000001" customHeight="1">
      <c r="A13" s="24"/>
      <c r="B13" s="24"/>
      <c r="C13" s="20"/>
      <c r="D13" s="20"/>
      <c r="E13" s="23"/>
      <c r="F13" s="21"/>
      <c r="G13" s="30"/>
      <c r="H13" s="16"/>
      <c r="I13" s="17"/>
      <c r="J13" s="30"/>
      <c r="K13" s="20"/>
      <c r="L13" s="21"/>
    </row>
    <row r="14" spans="1:12" ht="20.100000000000001" customHeight="1">
      <c r="A14" s="24"/>
      <c r="B14" s="24"/>
      <c r="C14" s="20"/>
      <c r="D14" s="20"/>
      <c r="E14" s="23"/>
      <c r="F14" s="21"/>
      <c r="G14" s="30"/>
      <c r="H14" s="16"/>
      <c r="I14" s="17"/>
      <c r="J14" s="30"/>
      <c r="K14" s="20"/>
      <c r="L14" s="21"/>
    </row>
    <row r="15" spans="1:12" ht="20.100000000000001" customHeight="1">
      <c r="A15" s="24"/>
      <c r="B15" s="24"/>
      <c r="C15" s="20"/>
      <c r="D15" s="20"/>
      <c r="E15" s="23"/>
      <c r="F15" s="21"/>
      <c r="G15" s="30"/>
      <c r="H15" s="16"/>
      <c r="I15" s="17"/>
      <c r="J15" s="30"/>
      <c r="K15" s="20"/>
      <c r="L15" s="21"/>
    </row>
    <row r="16" spans="1:12" ht="20.100000000000001" customHeight="1">
      <c r="A16" s="24"/>
      <c r="B16" s="24"/>
      <c r="C16" s="20"/>
      <c r="D16" s="20"/>
      <c r="E16" s="23"/>
      <c r="F16" s="21"/>
      <c r="G16" s="30"/>
      <c r="H16" s="16"/>
      <c r="I16" s="17"/>
      <c r="J16" s="30"/>
      <c r="K16" s="20"/>
      <c r="L16" s="21"/>
    </row>
    <row r="17" spans="1:12" ht="20.100000000000001" customHeight="1">
      <c r="A17" s="24"/>
      <c r="B17" s="24"/>
      <c r="C17" s="20"/>
      <c r="D17" s="20"/>
      <c r="E17" s="23"/>
      <c r="F17" s="21"/>
      <c r="G17" s="30"/>
      <c r="H17" s="16"/>
      <c r="I17" s="17"/>
      <c r="J17" s="30"/>
      <c r="K17" s="20"/>
      <c r="L17" s="21"/>
    </row>
    <row r="18" spans="1:12" ht="20.100000000000001" customHeight="1">
      <c r="A18" s="24"/>
      <c r="B18" s="24"/>
      <c r="C18" s="20"/>
      <c r="D18" s="20"/>
      <c r="E18" s="23"/>
      <c r="F18" s="21"/>
      <c r="G18" s="30"/>
      <c r="H18" s="16"/>
      <c r="I18" s="17"/>
      <c r="J18" s="30"/>
      <c r="K18" s="20"/>
      <c r="L18" s="21"/>
    </row>
    <row r="19" spans="1:12" ht="20.100000000000001" customHeight="1">
      <c r="A19" s="24"/>
      <c r="B19" s="24"/>
      <c r="C19" s="20"/>
      <c r="D19" s="20"/>
      <c r="E19" s="23"/>
      <c r="F19" s="21"/>
      <c r="G19" s="30"/>
      <c r="H19" s="16"/>
      <c r="I19" s="17"/>
      <c r="J19" s="30"/>
      <c r="K19" s="20"/>
      <c r="L19" s="21"/>
    </row>
  </sheetData>
  <autoFilter ref="A5:L5" xr:uid="{EAF9F12B-6DB0-4681-8E8E-7BC640BCB124}"/>
  <mergeCells count="4">
    <mergeCell ref="A2:L2"/>
    <mergeCell ref="A4:F4"/>
    <mergeCell ref="G4:I4"/>
    <mergeCell ref="J4:L4"/>
  </mergeCells>
  <conditionalFormatting sqref="A4 G4">
    <cfRule type="cellIs" dxfId="185" priority="13" operator="equal">
      <formula>"Overdue"</formula>
    </cfRule>
    <cfRule type="cellIs" dxfId="184" priority="14" operator="equal">
      <formula>"In Progress"</formula>
    </cfRule>
    <cfRule type="cellIs" dxfId="183" priority="15" operator="equal">
      <formula>"Completed"</formula>
    </cfRule>
  </conditionalFormatting>
  <conditionalFormatting sqref="A5:I5">
    <cfRule type="cellIs" dxfId="182" priority="1" operator="equal">
      <formula>"Overdue"</formula>
    </cfRule>
    <cfRule type="cellIs" dxfId="181" priority="2" operator="equal">
      <formula>"In Progress"</formula>
    </cfRule>
    <cfRule type="cellIs" dxfId="180" priority="3" operator="equal">
      <formula>"Completed"</formula>
    </cfRule>
  </conditionalFormatting>
  <conditionalFormatting sqref="G6:G19">
    <cfRule type="containsText" dxfId="179" priority="16" operator="containsText" text="D">
      <formula>NOT(ISERROR(SEARCH("D",G6)))</formula>
    </cfRule>
    <cfRule type="containsText" dxfId="178" priority="17" operator="containsText" text="C">
      <formula>NOT(ISERROR(SEARCH("C",G6)))</formula>
    </cfRule>
    <cfRule type="containsText" dxfId="177" priority="18" operator="containsText" text="B">
      <formula>NOT(ISERROR(SEARCH("B",G6)))</formula>
    </cfRule>
    <cfRule type="cellIs" dxfId="176" priority="19" operator="equal">
      <formula>"A"</formula>
    </cfRule>
  </conditionalFormatting>
  <conditionalFormatting sqref="J5:J19">
    <cfRule type="cellIs" dxfId="175" priority="20" operator="equal">
      <formula>"Overdue"</formula>
    </cfRule>
    <cfRule type="cellIs" dxfId="174" priority="21" operator="equal">
      <formula>"In Progress"</formula>
    </cfRule>
    <cfRule type="cellIs" dxfId="173" priority="22" operator="equal">
      <formula>"Completed"</formula>
    </cfRule>
  </conditionalFormatting>
  <conditionalFormatting sqref="J6:J19">
    <cfRule type="colorScale" priority="12">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71" fitToHeight="0" orientation="landscape" r:id="rId1"/>
  <headerFooter>
    <oddHeader>&amp;L&amp;G&amp;R&amp;"Arial,Bold"&amp;16Enviromental Compliance Obigations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4" operator="containsText" id="{2411C5FE-184D-2F4A-8968-16EC9390BD95}">
            <xm:f>NOT(ISERROR(SEARCH(Summary!$A$25,J6)))</xm:f>
            <xm:f>Summary!$A$25</xm:f>
            <x14:dxf>
              <fill>
                <patternFill>
                  <bgColor theme="9" tint="0.59996337778862885"/>
                </patternFill>
              </fill>
            </x14:dxf>
          </x14:cfRule>
          <x14:cfRule type="containsText" priority="5" operator="containsText" id="{9E67EB90-B07F-894B-8FC0-8751B133EE08}">
            <xm:f>NOT(ISERROR(SEARCH(Summary!$A$24,J6)))</xm:f>
            <xm:f>Summary!$A$24</xm:f>
            <x14:dxf>
              <fill>
                <patternFill>
                  <bgColor rgb="FFFFC7CE"/>
                </patternFill>
              </fill>
            </x14:dxf>
          </x14:cfRule>
          <x14:cfRule type="containsText" priority="6" operator="containsText" id="{048C54CC-2795-EE4A-852C-1BB7083B683E}">
            <xm:f>NOT(ISERROR(SEARCH(Summary!$A$23,J6)))</xm:f>
            <xm:f>Summary!$A$23</xm:f>
            <x14:dxf>
              <fill>
                <patternFill>
                  <bgColor theme="9" tint="0.59996337778862885"/>
                </patternFill>
              </fill>
            </x14:dxf>
          </x14:cfRule>
          <x14:cfRule type="containsText" priority="7" operator="containsText" id="{4831BDC2-D55D-D944-955F-8E3D42AA793A}">
            <xm:f>NOT(ISERROR(SEARCH(Summary!$A$22,J6)))</xm:f>
            <xm:f>Summary!$A$22</xm:f>
            <x14:dxf>
              <fill>
                <patternFill>
                  <bgColor theme="7" tint="0.59996337778862885"/>
                </patternFill>
              </fill>
            </x14:dxf>
          </x14:cfRule>
          <x14:cfRule type="containsText" priority="8" operator="containsText" id="{3935572D-14EE-6D48-B418-122901A87B19}">
            <xm:f>NOT(ISERROR(SEARCH(Summary!$A$21,J6)))</xm:f>
            <xm:f>Summary!$A$21</xm:f>
            <x14:dxf>
              <fill>
                <patternFill>
                  <bgColor rgb="FFFFC7CE"/>
                </patternFill>
              </fill>
            </x14:dxf>
          </x14:cfRule>
          <x14:cfRule type="containsText" priority="9" operator="containsText" id="{7ABC0B48-7466-9D43-AB8F-51A7F80A4B09}">
            <xm:f>NOT(ISERROR(SEARCH(Summary!$A$20,J6)))</xm:f>
            <xm:f>Summary!$A$20</xm:f>
            <x14:dxf>
              <fill>
                <patternFill>
                  <bgColor theme="7" tint="0.59996337778862885"/>
                </patternFill>
              </fill>
            </x14:dxf>
          </x14:cfRule>
          <x14:cfRule type="containsText" priority="10" operator="containsText" id="{641D8DB6-4E99-8B4A-80F6-D531E9CC0A5B}">
            <xm:f>NOT(ISERROR(SEARCH(Summary!$A$20,J6)))</xm:f>
            <xm:f>Summary!$A$20</xm:f>
            <x14:dxf>
              <fill>
                <patternFill>
                  <bgColor theme="7" tint="0.39994506668294322"/>
                </patternFill>
              </fill>
            </x14:dxf>
          </x14:cfRule>
          <x14:cfRule type="containsText" priority="11" operator="containsText" id="{FF0D494F-A5DD-3145-924B-593D8B58623F}">
            <xm:f>NOT(ISERROR(SEARCH(Summary!$A$20,J6)))</xm:f>
            <xm:f>Summary!$A$20</xm:f>
            <x14:dxf/>
          </x14:cfRule>
          <xm:sqref>J6:J19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Please select from the list" xr:uid="{957FE7EB-9343-AE49-8B80-C27D7559904E}">
          <x14:formula1>
            <xm:f>Summary!$A$20:$A$25</xm:f>
          </x14:formula1>
          <xm:sqref>J6:J19</xm:sqref>
        </x14:dataValidation>
        <x14:dataValidation type="list" allowBlank="1" showInputMessage="1" showErrorMessage="1" prompt="Please select from the list" xr:uid="{308170D1-DC20-3F4F-BC40-15EC3B2C5AD7}">
          <x14:formula1>
            <xm:f>Instructions!$C$30:$C$33</xm:f>
          </x14:formula1>
          <xm:sqref>G6:G19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5A0B-7664-49A8-8393-7D26AD093AFB}">
  <sheetPr>
    <pageSetUpPr fitToPage="1"/>
  </sheetPr>
  <dimension ref="A2:D27"/>
  <sheetViews>
    <sheetView workbookViewId="0"/>
  </sheetViews>
  <sheetFormatPr defaultColWidth="11" defaultRowHeight="12"/>
  <cols>
    <col min="1" max="4" width="25.5703125" style="1" customWidth="1"/>
    <col min="5" max="16384" width="11" style="1"/>
  </cols>
  <sheetData>
    <row r="2" spans="1:4" ht="24.75">
      <c r="A2" s="74" t="s">
        <v>36</v>
      </c>
      <c r="B2" s="74"/>
      <c r="C2" s="74"/>
      <c r="D2" s="74"/>
    </row>
    <row r="4" spans="1:4" ht="20.25" thickBot="1">
      <c r="A4" s="72" t="s">
        <v>37</v>
      </c>
      <c r="B4" s="72"/>
      <c r="C4" s="72"/>
      <c r="D4" s="72"/>
    </row>
    <row r="6" spans="1:4" ht="24">
      <c r="A6" s="8" t="s">
        <v>38</v>
      </c>
      <c r="B6" s="1" t="s">
        <v>39</v>
      </c>
    </row>
    <row r="7" spans="1:4">
      <c r="A7" s="8"/>
    </row>
    <row r="8" spans="1:4">
      <c r="A8" s="8" t="s">
        <v>40</v>
      </c>
      <c r="B8" s="1" t="s">
        <v>41</v>
      </c>
    </row>
    <row r="9" spans="1:4">
      <c r="A9" s="8"/>
    </row>
    <row r="10" spans="1:4">
      <c r="A10" s="8" t="s">
        <v>42</v>
      </c>
      <c r="B10" s="1" t="s">
        <v>43</v>
      </c>
    </row>
    <row r="11" spans="1:4">
      <c r="A11" s="8"/>
    </row>
    <row r="12" spans="1:4">
      <c r="A12" s="8" t="s">
        <v>44</v>
      </c>
    </row>
    <row r="13" spans="1:4">
      <c r="A13" s="8"/>
    </row>
    <row r="14" spans="1:4">
      <c r="A14" s="8" t="s">
        <v>45</v>
      </c>
      <c r="B14" s="1" t="s">
        <v>46</v>
      </c>
    </row>
    <row r="15" spans="1:4">
      <c r="A15" s="8"/>
    </row>
    <row r="16" spans="1:4">
      <c r="A16" s="8" t="s">
        <v>47</v>
      </c>
      <c r="B16" s="135">
        <v>45196</v>
      </c>
      <c r="C16" s="129" t="s">
        <v>48</v>
      </c>
    </row>
    <row r="18" spans="1:4" ht="17.25" thickBot="1">
      <c r="A18" s="73" t="s">
        <v>24</v>
      </c>
      <c r="B18" s="73"/>
      <c r="C18" s="73"/>
      <c r="D18" s="73"/>
    </row>
    <row r="20" spans="1:4" ht="15">
      <c r="A20" s="5" t="s">
        <v>49</v>
      </c>
      <c r="B20" s="2">
        <f>COUNTIF('Specification Requirements'!J:J,"Compliant")</f>
        <v>0</v>
      </c>
    </row>
    <row r="21" spans="1:4" ht="15">
      <c r="A21" s="6" t="s">
        <v>50</v>
      </c>
      <c r="B21" s="2">
        <f>COUNTIF('Specification Requirements'!J:J,"Not Compliant")</f>
        <v>0</v>
      </c>
    </row>
    <row r="22" spans="1:4" ht="15">
      <c r="A22" s="5" t="s">
        <v>51</v>
      </c>
      <c r="B22" s="2">
        <f>COUNTIF('Specification Requirements'!J:J,"Completed")</f>
        <v>0</v>
      </c>
    </row>
    <row r="23" spans="1:4" ht="15">
      <c r="A23" s="4" t="s">
        <v>52</v>
      </c>
      <c r="B23" s="2">
        <f>COUNTIF('Specification Requirements'!J:J,"In Progress")</f>
        <v>0</v>
      </c>
    </row>
    <row r="24" spans="1:4" ht="15">
      <c r="A24" s="6" t="s">
        <v>53</v>
      </c>
      <c r="B24" s="2">
        <f>COUNTIF('Specification Requirements'!J:J,"Overdue")</f>
        <v>0</v>
      </c>
    </row>
    <row r="25" spans="1:4" ht="15">
      <c r="A25" s="3" t="s">
        <v>54</v>
      </c>
      <c r="B25" s="2">
        <f>COUNTIF('Specification Requirements'!J:J,"Not Started")</f>
        <v>0</v>
      </c>
    </row>
    <row r="27" spans="1:4" ht="15.75" thickBot="1">
      <c r="A27" s="7" t="s">
        <v>55</v>
      </c>
      <c r="B27" s="7"/>
      <c r="C27" s="7"/>
      <c r="D27" s="7"/>
    </row>
  </sheetData>
  <printOptions horizontalCentered="1"/>
  <pageMargins left="0.59055118110236227" right="0.59055118110236227" top="1.2598425196850394" bottom="0.74803149606299213" header="0.51181102362204722" footer="0.31496062992125984"/>
  <pageSetup paperSize="9" fitToHeight="0" orientation="landscape" r:id="rId1"/>
  <headerFooter>
    <oddHeader>&amp;L&amp;G&amp;R&amp;"Arial,Bold"&amp;16Enviromental Compliance Obigations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1C42-5393-4280-A8E9-6B961DB640D7}">
  <sheetPr>
    <tabColor theme="5" tint="0.59999389629810485"/>
  </sheetPr>
  <dimension ref="A2:L65"/>
  <sheetViews>
    <sheetView workbookViewId="0"/>
  </sheetViews>
  <sheetFormatPr defaultColWidth="24.5703125" defaultRowHeight="12" customHeight="1"/>
  <cols>
    <col min="1" max="1" width="21.5703125" style="123" customWidth="1"/>
    <col min="2" max="2" width="18.5703125" style="123" customWidth="1"/>
    <col min="3" max="3" width="65.5703125" style="123" customWidth="1"/>
    <col min="4" max="4" width="31" style="123" customWidth="1"/>
    <col min="5" max="5" width="38.85546875" style="123" customWidth="1"/>
    <col min="6" max="6" width="18.85546875" style="123" customWidth="1"/>
    <col min="7" max="7" width="25.42578125" style="123" customWidth="1"/>
    <col min="8" max="12" width="23.5703125" style="123" customWidth="1"/>
    <col min="13" max="16384" width="24.5703125" style="123"/>
  </cols>
  <sheetData>
    <row r="2" spans="1:12" s="120" customFormat="1" ht="24.75">
      <c r="A2" s="202" t="s">
        <v>56</v>
      </c>
      <c r="B2" s="202"/>
      <c r="C2" s="202"/>
      <c r="D2" s="202"/>
      <c r="E2" s="202"/>
      <c r="F2" s="202"/>
      <c r="G2" s="202"/>
      <c r="H2" s="202"/>
      <c r="I2" s="202"/>
      <c r="J2" s="202"/>
      <c r="K2" s="202"/>
      <c r="L2" s="202"/>
    </row>
    <row r="4" spans="1:12" ht="15" customHeight="1">
      <c r="A4" s="203" t="s">
        <v>22</v>
      </c>
      <c r="B4" s="203"/>
      <c r="C4" s="203"/>
      <c r="D4" s="203"/>
      <c r="E4" s="203"/>
      <c r="F4" s="203"/>
      <c r="G4" s="203"/>
      <c r="H4" s="136"/>
      <c r="I4" s="203" t="s">
        <v>24</v>
      </c>
      <c r="J4" s="203"/>
      <c r="K4" s="203"/>
      <c r="L4" s="203"/>
    </row>
    <row r="5" spans="1:12" ht="24">
      <c r="A5" s="86" t="s">
        <v>57</v>
      </c>
      <c r="B5" s="86" t="s">
        <v>26</v>
      </c>
      <c r="C5" s="86" t="s">
        <v>58</v>
      </c>
      <c r="D5" s="86" t="s">
        <v>59</v>
      </c>
      <c r="E5" s="86" t="s">
        <v>60</v>
      </c>
      <c r="F5" s="86" t="s">
        <v>61</v>
      </c>
      <c r="G5" s="86" t="s">
        <v>62</v>
      </c>
      <c r="H5" s="121" t="s">
        <v>33</v>
      </c>
      <c r="I5" s="121" t="s">
        <v>24</v>
      </c>
      <c r="J5" s="121" t="s">
        <v>34</v>
      </c>
      <c r="K5" s="122" t="s">
        <v>63</v>
      </c>
      <c r="L5" s="122" t="s">
        <v>64</v>
      </c>
    </row>
    <row r="6" spans="1:12" ht="356.1" customHeight="1">
      <c r="A6" s="143" t="s">
        <v>65</v>
      </c>
      <c r="B6" s="144" t="s">
        <v>66</v>
      </c>
      <c r="C6" s="145" t="s">
        <v>67</v>
      </c>
      <c r="D6" s="144" t="s">
        <v>68</v>
      </c>
      <c r="E6" s="144" t="s">
        <v>69</v>
      </c>
      <c r="F6" s="144" t="s">
        <v>70</v>
      </c>
      <c r="G6" s="144" t="s">
        <v>71</v>
      </c>
      <c r="H6" s="137"/>
      <c r="I6" s="138"/>
      <c r="J6" s="137"/>
      <c r="K6" s="137"/>
      <c r="L6" s="137"/>
    </row>
    <row r="7" spans="1:12" ht="174" customHeight="1">
      <c r="A7" s="143" t="s">
        <v>65</v>
      </c>
      <c r="B7" s="144" t="s">
        <v>66</v>
      </c>
      <c r="C7" s="145" t="s">
        <v>72</v>
      </c>
      <c r="D7" s="144" t="s">
        <v>68</v>
      </c>
      <c r="E7" s="144" t="s">
        <v>69</v>
      </c>
      <c r="F7" s="144" t="s">
        <v>73</v>
      </c>
      <c r="G7" s="144" t="s">
        <v>71</v>
      </c>
      <c r="H7" s="137"/>
      <c r="I7" s="138"/>
      <c r="J7" s="137"/>
      <c r="K7" s="137"/>
      <c r="L7" s="137"/>
    </row>
    <row r="8" spans="1:12" ht="120" customHeight="1">
      <c r="A8" s="143" t="s">
        <v>65</v>
      </c>
      <c r="B8" s="144" t="s">
        <v>74</v>
      </c>
      <c r="C8" s="144" t="s">
        <v>75</v>
      </c>
      <c r="D8" s="144" t="s">
        <v>76</v>
      </c>
      <c r="E8" s="144" t="s">
        <v>77</v>
      </c>
      <c r="F8" s="144" t="s">
        <v>74</v>
      </c>
      <c r="G8" s="144" t="s">
        <v>71</v>
      </c>
      <c r="H8" s="137"/>
      <c r="I8" s="138"/>
      <c r="J8" s="137"/>
      <c r="K8" s="137"/>
      <c r="L8" s="137"/>
    </row>
    <row r="9" spans="1:12" ht="321.75" customHeight="1">
      <c r="A9" s="143" t="s">
        <v>65</v>
      </c>
      <c r="B9" s="144" t="s">
        <v>66</v>
      </c>
      <c r="C9" s="144" t="s">
        <v>78</v>
      </c>
      <c r="D9" s="144" t="s">
        <v>79</v>
      </c>
      <c r="E9" s="144" t="s">
        <v>80</v>
      </c>
      <c r="F9" s="144" t="s">
        <v>81</v>
      </c>
      <c r="G9" s="144" t="s">
        <v>71</v>
      </c>
      <c r="H9" s="137"/>
      <c r="I9" s="138"/>
      <c r="J9" s="137"/>
      <c r="K9" s="137"/>
      <c r="L9" s="137"/>
    </row>
    <row r="10" spans="1:12" ht="168" customHeight="1">
      <c r="A10" s="143" t="s">
        <v>65</v>
      </c>
      <c r="B10" s="144" t="s">
        <v>66</v>
      </c>
      <c r="C10" s="144" t="s">
        <v>82</v>
      </c>
      <c r="D10" s="144" t="s">
        <v>79</v>
      </c>
      <c r="E10" s="144" t="s">
        <v>83</v>
      </c>
      <c r="F10" s="144" t="s">
        <v>73</v>
      </c>
      <c r="G10" s="144" t="s">
        <v>71</v>
      </c>
      <c r="H10" s="137"/>
      <c r="I10" s="138"/>
      <c r="J10" s="137"/>
      <c r="K10" s="137"/>
      <c r="L10" s="137"/>
    </row>
    <row r="11" spans="1:12" ht="161.25" customHeight="1">
      <c r="A11" s="143" t="s">
        <v>65</v>
      </c>
      <c r="B11" s="144" t="s">
        <v>66</v>
      </c>
      <c r="C11" s="145" t="s">
        <v>84</v>
      </c>
      <c r="D11" s="144" t="s">
        <v>85</v>
      </c>
      <c r="E11" s="144" t="s">
        <v>86</v>
      </c>
      <c r="F11" s="144" t="s">
        <v>87</v>
      </c>
      <c r="G11" s="144" t="s">
        <v>71</v>
      </c>
      <c r="H11" s="137"/>
      <c r="I11" s="138"/>
      <c r="J11" s="137"/>
      <c r="K11" s="137"/>
      <c r="L11" s="137"/>
    </row>
    <row r="12" spans="1:12" ht="111.75" customHeight="1">
      <c r="A12" s="143" t="s">
        <v>65</v>
      </c>
      <c r="B12" s="144" t="s">
        <v>66</v>
      </c>
      <c r="C12" s="144" t="s">
        <v>88</v>
      </c>
      <c r="D12" s="144" t="s">
        <v>68</v>
      </c>
      <c r="E12" s="146" t="s">
        <v>89</v>
      </c>
      <c r="F12" s="144" t="s">
        <v>90</v>
      </c>
      <c r="G12" s="144" t="s">
        <v>71</v>
      </c>
      <c r="H12" s="137"/>
      <c r="I12" s="138"/>
      <c r="J12" s="137"/>
      <c r="K12" s="137"/>
      <c r="L12" s="137"/>
    </row>
    <row r="13" spans="1:12" ht="199.5">
      <c r="A13" s="147" t="s">
        <v>91</v>
      </c>
      <c r="B13" s="148" t="s">
        <v>66</v>
      </c>
      <c r="C13" s="149" t="s">
        <v>92</v>
      </c>
      <c r="D13" s="148" t="s">
        <v>93</v>
      </c>
      <c r="E13" s="150" t="s">
        <v>94</v>
      </c>
      <c r="F13" s="148" t="s">
        <v>95</v>
      </c>
      <c r="G13" s="148" t="s">
        <v>71</v>
      </c>
      <c r="H13" s="137"/>
      <c r="I13" s="138"/>
      <c r="J13" s="137"/>
      <c r="K13" s="137"/>
      <c r="L13" s="137"/>
    </row>
    <row r="14" spans="1:12" ht="80.099999999999994" customHeight="1">
      <c r="A14" s="147" t="s">
        <v>91</v>
      </c>
      <c r="B14" s="148" t="s">
        <v>66</v>
      </c>
      <c r="C14" s="148" t="s">
        <v>96</v>
      </c>
      <c r="D14" s="148" t="s">
        <v>97</v>
      </c>
      <c r="E14" s="148" t="s">
        <v>98</v>
      </c>
      <c r="F14" s="148" t="s">
        <v>99</v>
      </c>
      <c r="G14" s="150" t="s">
        <v>100</v>
      </c>
      <c r="H14" s="137"/>
      <c r="I14" s="138"/>
      <c r="J14" s="137"/>
      <c r="K14" s="137"/>
      <c r="L14" s="137"/>
    </row>
    <row r="15" spans="1:12" ht="213.75">
      <c r="A15" s="147" t="s">
        <v>91</v>
      </c>
      <c r="B15" s="148" t="s">
        <v>66</v>
      </c>
      <c r="C15" s="148" t="s">
        <v>101</v>
      </c>
      <c r="D15" s="148" t="s">
        <v>102</v>
      </c>
      <c r="E15" s="148" t="s">
        <v>98</v>
      </c>
      <c r="F15" s="148" t="s">
        <v>103</v>
      </c>
      <c r="G15" s="148" t="s">
        <v>71</v>
      </c>
      <c r="H15" s="137"/>
      <c r="I15" s="138"/>
      <c r="J15" s="137"/>
      <c r="K15" s="137"/>
      <c r="L15" s="137"/>
    </row>
    <row r="16" spans="1:12" ht="118.5">
      <c r="A16" s="147" t="s">
        <v>91</v>
      </c>
      <c r="B16" s="148" t="s">
        <v>66</v>
      </c>
      <c r="C16" s="151" t="s">
        <v>104</v>
      </c>
      <c r="D16" s="148" t="s">
        <v>93</v>
      </c>
      <c r="E16" s="150" t="s">
        <v>94</v>
      </c>
      <c r="F16" s="148" t="s">
        <v>105</v>
      </c>
      <c r="G16" s="148" t="s">
        <v>71</v>
      </c>
      <c r="H16" s="137"/>
      <c r="I16" s="138"/>
      <c r="J16" s="137"/>
      <c r="K16" s="137"/>
      <c r="L16" s="137"/>
    </row>
    <row r="17" spans="1:12" ht="142.5">
      <c r="A17" s="147" t="s">
        <v>91</v>
      </c>
      <c r="B17" s="148" t="s">
        <v>66</v>
      </c>
      <c r="C17" s="151" t="s">
        <v>106</v>
      </c>
      <c r="D17" s="148" t="s">
        <v>93</v>
      </c>
      <c r="E17" s="150" t="s">
        <v>94</v>
      </c>
      <c r="F17" s="148" t="s">
        <v>107</v>
      </c>
      <c r="G17" s="148" t="s">
        <v>71</v>
      </c>
      <c r="H17" s="137"/>
      <c r="I17" s="138"/>
      <c r="J17" s="137"/>
      <c r="K17" s="137"/>
      <c r="L17" s="137"/>
    </row>
    <row r="18" spans="1:12" ht="57">
      <c r="A18" s="147" t="s">
        <v>91</v>
      </c>
      <c r="B18" s="148" t="s">
        <v>66</v>
      </c>
      <c r="C18" s="149" t="s">
        <v>108</v>
      </c>
      <c r="D18" s="148" t="s">
        <v>93</v>
      </c>
      <c r="E18" s="150" t="s">
        <v>94</v>
      </c>
      <c r="F18" s="148" t="s">
        <v>109</v>
      </c>
      <c r="G18" s="148" t="s">
        <v>71</v>
      </c>
      <c r="H18" s="137"/>
      <c r="I18" s="138"/>
      <c r="J18" s="137"/>
      <c r="K18" s="137"/>
      <c r="L18" s="137"/>
    </row>
    <row r="19" spans="1:12" ht="258">
      <c r="A19" s="147" t="s">
        <v>91</v>
      </c>
      <c r="B19" s="148" t="s">
        <v>66</v>
      </c>
      <c r="C19" s="149" t="s">
        <v>110</v>
      </c>
      <c r="D19" s="148" t="s">
        <v>93</v>
      </c>
      <c r="E19" s="152" t="s">
        <v>89</v>
      </c>
      <c r="F19" s="148" t="s">
        <v>111</v>
      </c>
      <c r="G19" s="148" t="s">
        <v>71</v>
      </c>
      <c r="H19" s="137"/>
      <c r="I19" s="138"/>
      <c r="J19" s="137"/>
      <c r="K19" s="137"/>
      <c r="L19" s="137"/>
    </row>
    <row r="20" spans="1:12" ht="409.5">
      <c r="A20" s="147" t="s">
        <v>91</v>
      </c>
      <c r="B20" s="148" t="s">
        <v>66</v>
      </c>
      <c r="C20" s="148" t="s">
        <v>112</v>
      </c>
      <c r="D20" s="148" t="s">
        <v>97</v>
      </c>
      <c r="E20" s="148" t="s">
        <v>98</v>
      </c>
      <c r="F20" s="148" t="s">
        <v>113</v>
      </c>
      <c r="G20" s="150" t="s">
        <v>100</v>
      </c>
      <c r="H20" s="137"/>
      <c r="I20" s="138"/>
      <c r="J20" s="137"/>
      <c r="K20" s="137"/>
      <c r="L20" s="137"/>
    </row>
    <row r="21" spans="1:12" ht="86.25">
      <c r="A21" s="147" t="s">
        <v>91</v>
      </c>
      <c r="B21" s="148" t="s">
        <v>66</v>
      </c>
      <c r="C21" s="148" t="s">
        <v>114</v>
      </c>
      <c r="D21" s="148" t="s">
        <v>93</v>
      </c>
      <c r="E21" s="149" t="s">
        <v>115</v>
      </c>
      <c r="F21" s="148" t="s">
        <v>116</v>
      </c>
      <c r="G21" s="148" t="s">
        <v>71</v>
      </c>
      <c r="H21" s="137"/>
      <c r="I21" s="138"/>
      <c r="J21" s="137"/>
      <c r="K21" s="137"/>
      <c r="L21" s="137"/>
    </row>
    <row r="22" spans="1:12" ht="114">
      <c r="A22" s="147" t="s">
        <v>91</v>
      </c>
      <c r="B22" s="148" t="s">
        <v>66</v>
      </c>
      <c r="C22" s="148" t="s">
        <v>117</v>
      </c>
      <c r="D22" s="148" t="s">
        <v>97</v>
      </c>
      <c r="E22" s="149" t="s">
        <v>98</v>
      </c>
      <c r="F22" s="148" t="s">
        <v>73</v>
      </c>
      <c r="G22" s="148" t="s">
        <v>71</v>
      </c>
      <c r="H22" s="137"/>
      <c r="I22" s="138"/>
      <c r="J22" s="137"/>
      <c r="K22" s="137"/>
      <c r="L22" s="137"/>
    </row>
    <row r="23" spans="1:12" ht="42.75">
      <c r="A23" s="147" t="s">
        <v>91</v>
      </c>
      <c r="B23" s="148" t="s">
        <v>66</v>
      </c>
      <c r="C23" s="148" t="s">
        <v>118</v>
      </c>
      <c r="D23" s="148" t="s">
        <v>119</v>
      </c>
      <c r="E23" s="148" t="s">
        <v>120</v>
      </c>
      <c r="F23" s="148" t="s">
        <v>121</v>
      </c>
      <c r="G23" s="148" t="s">
        <v>71</v>
      </c>
      <c r="H23" s="137"/>
      <c r="I23" s="138"/>
      <c r="J23" s="137"/>
      <c r="K23" s="137"/>
      <c r="L23" s="137"/>
    </row>
    <row r="24" spans="1:12" ht="71.25">
      <c r="A24" s="153" t="s">
        <v>122</v>
      </c>
      <c r="B24" s="154" t="s">
        <v>66</v>
      </c>
      <c r="C24" s="154" t="s">
        <v>123</v>
      </c>
      <c r="D24" s="154" t="s">
        <v>124</v>
      </c>
      <c r="E24" s="154" t="s">
        <v>125</v>
      </c>
      <c r="F24" s="154" t="s">
        <v>116</v>
      </c>
      <c r="G24" s="154" t="s">
        <v>71</v>
      </c>
      <c r="H24" s="137"/>
      <c r="I24" s="138"/>
      <c r="J24" s="137"/>
      <c r="K24" s="137"/>
      <c r="L24" s="137"/>
    </row>
    <row r="25" spans="1:12" ht="171.95" customHeight="1">
      <c r="A25" s="153" t="s">
        <v>122</v>
      </c>
      <c r="B25" s="154" t="s">
        <v>66</v>
      </c>
      <c r="C25" s="154" t="s">
        <v>126</v>
      </c>
      <c r="D25" s="154" t="s">
        <v>127</v>
      </c>
      <c r="E25" s="154" t="s">
        <v>120</v>
      </c>
      <c r="F25" s="154" t="s">
        <v>121</v>
      </c>
      <c r="G25" s="154" t="s">
        <v>71</v>
      </c>
      <c r="H25" s="137"/>
      <c r="I25" s="138"/>
      <c r="J25" s="137"/>
      <c r="K25" s="137"/>
      <c r="L25" s="137"/>
    </row>
    <row r="26" spans="1:12" ht="57">
      <c r="A26" s="153" t="s">
        <v>122</v>
      </c>
      <c r="B26" s="154" t="s">
        <v>66</v>
      </c>
      <c r="C26" s="155" t="s">
        <v>128</v>
      </c>
      <c r="D26" s="154" t="s">
        <v>127</v>
      </c>
      <c r="E26" s="154"/>
      <c r="F26" s="155"/>
      <c r="G26" s="155" t="s">
        <v>129</v>
      </c>
      <c r="H26" s="137"/>
      <c r="I26" s="138"/>
      <c r="J26" s="137"/>
      <c r="K26" s="137"/>
      <c r="L26" s="137"/>
    </row>
    <row r="27" spans="1:12" ht="99.75">
      <c r="A27" s="156" t="s">
        <v>130</v>
      </c>
      <c r="B27" s="157" t="s">
        <v>66</v>
      </c>
      <c r="C27" s="158" t="s">
        <v>131</v>
      </c>
      <c r="D27" s="158" t="s">
        <v>132</v>
      </c>
      <c r="E27" s="158" t="s">
        <v>133</v>
      </c>
      <c r="F27" s="157" t="s">
        <v>116</v>
      </c>
      <c r="G27" s="157" t="s">
        <v>71</v>
      </c>
      <c r="H27" s="137"/>
      <c r="I27" s="138"/>
      <c r="J27" s="137"/>
      <c r="K27" s="137"/>
      <c r="L27" s="137"/>
    </row>
    <row r="28" spans="1:12" ht="167.1" customHeight="1">
      <c r="A28" s="156" t="s">
        <v>130</v>
      </c>
      <c r="B28" s="157" t="s">
        <v>134</v>
      </c>
      <c r="C28" s="157" t="s">
        <v>135</v>
      </c>
      <c r="D28" s="157" t="s">
        <v>136</v>
      </c>
      <c r="E28" s="157" t="s">
        <v>137</v>
      </c>
      <c r="F28" s="157" t="s">
        <v>74</v>
      </c>
      <c r="G28" s="157" t="s">
        <v>138</v>
      </c>
      <c r="H28" s="137"/>
      <c r="I28" s="138"/>
      <c r="J28" s="137"/>
      <c r="K28" s="137"/>
      <c r="L28" s="137"/>
    </row>
    <row r="29" spans="1:12" ht="71.25">
      <c r="A29" s="156" t="s">
        <v>130</v>
      </c>
      <c r="B29" s="157" t="s">
        <v>66</v>
      </c>
      <c r="C29" s="157" t="s">
        <v>139</v>
      </c>
      <c r="D29" s="157" t="s">
        <v>136</v>
      </c>
      <c r="E29" s="157" t="s">
        <v>120</v>
      </c>
      <c r="F29" s="157" t="s">
        <v>121</v>
      </c>
      <c r="G29" s="157" t="s">
        <v>71</v>
      </c>
      <c r="H29" s="137"/>
      <c r="I29" s="138"/>
      <c r="J29" s="137"/>
      <c r="K29" s="137"/>
      <c r="L29" s="137"/>
    </row>
    <row r="30" spans="1:12" ht="114">
      <c r="A30" s="159" t="s">
        <v>140</v>
      </c>
      <c r="B30" s="160" t="s">
        <v>66</v>
      </c>
      <c r="C30" s="160" t="s">
        <v>141</v>
      </c>
      <c r="D30" s="160" t="s">
        <v>142</v>
      </c>
      <c r="E30" s="160" t="s">
        <v>98</v>
      </c>
      <c r="F30" s="160" t="s">
        <v>143</v>
      </c>
      <c r="G30" s="160" t="s">
        <v>71</v>
      </c>
      <c r="H30" s="137"/>
      <c r="I30" s="138"/>
      <c r="J30" s="137"/>
      <c r="K30" s="137"/>
      <c r="L30" s="137"/>
    </row>
    <row r="31" spans="1:12" ht="71.25">
      <c r="A31" s="159" t="s">
        <v>140</v>
      </c>
      <c r="B31" s="160" t="s">
        <v>66</v>
      </c>
      <c r="C31" s="160" t="s">
        <v>144</v>
      </c>
      <c r="D31" s="160" t="s">
        <v>142</v>
      </c>
      <c r="E31" s="160" t="s">
        <v>98</v>
      </c>
      <c r="F31" s="160" t="s">
        <v>145</v>
      </c>
      <c r="G31" s="161" t="s">
        <v>146</v>
      </c>
      <c r="H31" s="137"/>
      <c r="I31" s="138"/>
      <c r="J31" s="137"/>
      <c r="K31" s="137"/>
      <c r="L31" s="137"/>
    </row>
    <row r="32" spans="1:12" ht="42.75">
      <c r="A32" s="159" t="s">
        <v>140</v>
      </c>
      <c r="B32" s="160" t="s">
        <v>66</v>
      </c>
      <c r="C32" s="160" t="s">
        <v>147</v>
      </c>
      <c r="D32" s="160" t="s">
        <v>142</v>
      </c>
      <c r="E32" s="160" t="s">
        <v>98</v>
      </c>
      <c r="F32" s="160" t="s">
        <v>116</v>
      </c>
      <c r="G32" s="160" t="s">
        <v>71</v>
      </c>
      <c r="H32" s="137"/>
      <c r="I32" s="138"/>
      <c r="J32" s="137"/>
      <c r="K32" s="137"/>
      <c r="L32" s="137"/>
    </row>
    <row r="33" spans="1:12" ht="114">
      <c r="A33" s="159" t="s">
        <v>140</v>
      </c>
      <c r="B33" s="160" t="s">
        <v>66</v>
      </c>
      <c r="C33" s="160" t="s">
        <v>148</v>
      </c>
      <c r="D33" s="160" t="s">
        <v>149</v>
      </c>
      <c r="E33" s="161" t="s">
        <v>150</v>
      </c>
      <c r="F33" s="160" t="s">
        <v>151</v>
      </c>
      <c r="G33" s="160" t="s">
        <v>152</v>
      </c>
      <c r="H33" s="137"/>
      <c r="I33" s="138"/>
      <c r="J33" s="137"/>
      <c r="K33" s="137"/>
      <c r="L33" s="137"/>
    </row>
    <row r="34" spans="1:12" ht="114">
      <c r="A34" s="162" t="s">
        <v>153</v>
      </c>
      <c r="B34" s="163" t="s">
        <v>74</v>
      </c>
      <c r="C34" s="163" t="s">
        <v>154</v>
      </c>
      <c r="D34" s="163" t="s">
        <v>155</v>
      </c>
      <c r="E34" s="163" t="s">
        <v>156</v>
      </c>
      <c r="F34" s="163" t="s">
        <v>74</v>
      </c>
      <c r="G34" s="163" t="s">
        <v>157</v>
      </c>
      <c r="H34" s="137"/>
      <c r="I34" s="138"/>
      <c r="J34" s="137"/>
      <c r="K34" s="137"/>
      <c r="L34" s="137"/>
    </row>
    <row r="35" spans="1:12" ht="128.25">
      <c r="A35" s="162" t="s">
        <v>153</v>
      </c>
      <c r="B35" s="163" t="s">
        <v>158</v>
      </c>
      <c r="C35" s="163" t="s">
        <v>159</v>
      </c>
      <c r="D35" s="163" t="s">
        <v>160</v>
      </c>
      <c r="E35" s="163" t="s">
        <v>161</v>
      </c>
      <c r="F35" s="163" t="s">
        <v>162</v>
      </c>
      <c r="G35" s="163" t="s">
        <v>163</v>
      </c>
      <c r="H35" s="137"/>
      <c r="I35" s="138"/>
      <c r="J35" s="137"/>
      <c r="K35" s="137"/>
      <c r="L35" s="137"/>
    </row>
    <row r="36" spans="1:12" ht="85.5">
      <c r="A36" s="162" t="s">
        <v>153</v>
      </c>
      <c r="B36" s="163" t="s">
        <v>134</v>
      </c>
      <c r="C36" s="163" t="s">
        <v>164</v>
      </c>
      <c r="D36" s="163" t="s">
        <v>165</v>
      </c>
      <c r="E36" s="163" t="s">
        <v>166</v>
      </c>
      <c r="F36" s="163" t="s">
        <v>167</v>
      </c>
      <c r="G36" s="163" t="s">
        <v>168</v>
      </c>
      <c r="H36" s="137"/>
      <c r="I36" s="138"/>
      <c r="J36" s="137"/>
      <c r="K36" s="137"/>
      <c r="L36" s="137"/>
    </row>
    <row r="37" spans="1:12" ht="71.25">
      <c r="A37" s="162" t="s">
        <v>153</v>
      </c>
      <c r="B37" s="163" t="s">
        <v>66</v>
      </c>
      <c r="C37" s="163" t="s">
        <v>169</v>
      </c>
      <c r="D37" s="163" t="s">
        <v>170</v>
      </c>
      <c r="E37" s="164" t="s">
        <v>171</v>
      </c>
      <c r="F37" s="163" t="s">
        <v>172</v>
      </c>
      <c r="G37" s="163" t="s">
        <v>71</v>
      </c>
      <c r="H37" s="137"/>
      <c r="I37" s="138"/>
      <c r="J37" s="137"/>
      <c r="K37" s="137"/>
      <c r="L37" s="137"/>
    </row>
    <row r="38" spans="1:12" ht="57">
      <c r="A38" s="162" t="s">
        <v>153</v>
      </c>
      <c r="B38" s="163" t="s">
        <v>66</v>
      </c>
      <c r="C38" s="163" t="s">
        <v>173</v>
      </c>
      <c r="D38" s="163" t="s">
        <v>174</v>
      </c>
      <c r="E38" s="163" t="s">
        <v>120</v>
      </c>
      <c r="F38" s="163" t="s">
        <v>121</v>
      </c>
      <c r="G38" s="163" t="s">
        <v>71</v>
      </c>
      <c r="H38" s="137"/>
      <c r="I38" s="138"/>
      <c r="J38" s="137"/>
      <c r="K38" s="137"/>
      <c r="L38" s="137"/>
    </row>
    <row r="39" spans="1:12" ht="142.5">
      <c r="A39" s="162" t="s">
        <v>153</v>
      </c>
      <c r="B39" s="163" t="s">
        <v>66</v>
      </c>
      <c r="C39" s="163" t="s">
        <v>175</v>
      </c>
      <c r="D39" s="163" t="s">
        <v>176</v>
      </c>
      <c r="E39" s="163" t="s">
        <v>120</v>
      </c>
      <c r="F39" s="163" t="s">
        <v>121</v>
      </c>
      <c r="G39" s="163" t="s">
        <v>71</v>
      </c>
      <c r="H39" s="137"/>
      <c r="I39" s="138"/>
      <c r="J39" s="137"/>
      <c r="K39" s="137"/>
      <c r="L39" s="137"/>
    </row>
    <row r="40" spans="1:12" ht="57">
      <c r="A40" s="156" t="s">
        <v>177</v>
      </c>
      <c r="B40" s="157" t="s">
        <v>66</v>
      </c>
      <c r="C40" s="157" t="s">
        <v>178</v>
      </c>
      <c r="D40" s="157" t="s">
        <v>179</v>
      </c>
      <c r="E40" s="157" t="s">
        <v>180</v>
      </c>
      <c r="F40" s="157" t="s">
        <v>181</v>
      </c>
      <c r="G40" s="157" t="s">
        <v>71</v>
      </c>
      <c r="H40" s="137"/>
      <c r="I40" s="138"/>
      <c r="J40" s="137"/>
      <c r="K40" s="137"/>
      <c r="L40" s="137"/>
    </row>
    <row r="41" spans="1:12" ht="28.5">
      <c r="A41" s="165" t="s">
        <v>177</v>
      </c>
      <c r="B41" s="166" t="s">
        <v>66</v>
      </c>
      <c r="C41" s="157" t="s">
        <v>182</v>
      </c>
      <c r="D41" s="157" t="s">
        <v>183</v>
      </c>
      <c r="E41" s="157" t="s">
        <v>184</v>
      </c>
      <c r="F41" s="167" t="s">
        <v>185</v>
      </c>
      <c r="G41" s="166" t="s">
        <v>71</v>
      </c>
      <c r="H41" s="137"/>
      <c r="I41" s="138"/>
      <c r="J41" s="137"/>
      <c r="K41" s="137"/>
      <c r="L41" s="137"/>
    </row>
    <row r="42" spans="1:12" ht="99.75">
      <c r="A42" s="165" t="s">
        <v>177</v>
      </c>
      <c r="B42" s="166" t="s">
        <v>66</v>
      </c>
      <c r="C42" s="157" t="s">
        <v>186</v>
      </c>
      <c r="D42" s="157" t="s">
        <v>183</v>
      </c>
      <c r="E42" s="157" t="s">
        <v>187</v>
      </c>
      <c r="F42" s="157" t="s">
        <v>73</v>
      </c>
      <c r="G42" s="166" t="s">
        <v>71</v>
      </c>
      <c r="H42" s="137"/>
      <c r="I42" s="138"/>
      <c r="J42" s="137"/>
      <c r="K42" s="137"/>
      <c r="L42" s="137"/>
    </row>
    <row r="43" spans="1:12" ht="42.75">
      <c r="A43" s="168" t="s">
        <v>177</v>
      </c>
      <c r="B43" s="158" t="s">
        <v>66</v>
      </c>
      <c r="C43" s="158" t="s">
        <v>188</v>
      </c>
      <c r="D43" s="157" t="s">
        <v>183</v>
      </c>
      <c r="E43" s="167" t="s">
        <v>189</v>
      </c>
      <c r="F43" s="158" t="s">
        <v>70</v>
      </c>
      <c r="G43" s="167" t="s">
        <v>71</v>
      </c>
      <c r="H43" s="137"/>
      <c r="I43" s="138"/>
      <c r="J43" s="137"/>
      <c r="K43" s="137"/>
      <c r="L43" s="137"/>
    </row>
    <row r="44" spans="1:12" ht="213.75">
      <c r="A44" s="156" t="s">
        <v>177</v>
      </c>
      <c r="B44" s="157" t="s">
        <v>66</v>
      </c>
      <c r="C44" s="157" t="s">
        <v>190</v>
      </c>
      <c r="D44" s="157" t="s">
        <v>191</v>
      </c>
      <c r="E44" s="157" t="s">
        <v>192</v>
      </c>
      <c r="F44" s="157" t="s">
        <v>73</v>
      </c>
      <c r="G44" s="157" t="s">
        <v>71</v>
      </c>
      <c r="H44" s="137"/>
      <c r="I44" s="138"/>
      <c r="J44" s="137"/>
      <c r="K44" s="137"/>
      <c r="L44" s="137"/>
    </row>
    <row r="45" spans="1:12" ht="57">
      <c r="A45" s="156" t="s">
        <v>193</v>
      </c>
      <c r="B45" s="157" t="s">
        <v>66</v>
      </c>
      <c r="C45" s="157" t="s">
        <v>194</v>
      </c>
      <c r="D45" s="157" t="s">
        <v>195</v>
      </c>
      <c r="E45" s="157" t="s">
        <v>192</v>
      </c>
      <c r="F45" s="157" t="s">
        <v>73</v>
      </c>
      <c r="G45" s="157" t="s">
        <v>71</v>
      </c>
      <c r="H45" s="137"/>
      <c r="I45" s="138"/>
      <c r="J45" s="137"/>
      <c r="K45" s="137"/>
      <c r="L45" s="137"/>
    </row>
    <row r="46" spans="1:12" ht="142.5">
      <c r="A46" s="156" t="s">
        <v>193</v>
      </c>
      <c r="B46" s="157" t="s">
        <v>66</v>
      </c>
      <c r="C46" s="157" t="s">
        <v>196</v>
      </c>
      <c r="D46" s="157" t="s">
        <v>197</v>
      </c>
      <c r="E46" s="157" t="s">
        <v>120</v>
      </c>
      <c r="F46" s="157" t="s">
        <v>121</v>
      </c>
      <c r="G46" s="157" t="s">
        <v>71</v>
      </c>
      <c r="H46" s="137"/>
      <c r="I46" s="138"/>
      <c r="J46" s="137"/>
      <c r="K46" s="137"/>
      <c r="L46" s="137"/>
    </row>
    <row r="47" spans="1:12" ht="57">
      <c r="A47" s="169" t="s">
        <v>198</v>
      </c>
      <c r="B47" s="170" t="s">
        <v>66</v>
      </c>
      <c r="C47" s="170" t="s">
        <v>199</v>
      </c>
      <c r="D47" s="170" t="s">
        <v>200</v>
      </c>
      <c r="E47" s="171" t="s">
        <v>201</v>
      </c>
      <c r="F47" s="170" t="s">
        <v>202</v>
      </c>
      <c r="G47" s="170" t="s">
        <v>71</v>
      </c>
      <c r="H47" s="139"/>
      <c r="I47" s="140"/>
      <c r="J47" s="139"/>
      <c r="K47" s="139"/>
      <c r="L47" s="139"/>
    </row>
    <row r="48" spans="1:12" ht="57">
      <c r="A48" s="172" t="s">
        <v>198</v>
      </c>
      <c r="B48" s="173" t="s">
        <v>66</v>
      </c>
      <c r="C48" s="173" t="s">
        <v>203</v>
      </c>
      <c r="D48" s="173" t="s">
        <v>200</v>
      </c>
      <c r="E48" s="173" t="s">
        <v>120</v>
      </c>
      <c r="F48" s="173" t="s">
        <v>204</v>
      </c>
      <c r="G48" s="173" t="s">
        <v>71</v>
      </c>
      <c r="H48" s="137"/>
      <c r="I48" s="138"/>
      <c r="J48" s="137"/>
      <c r="K48" s="137"/>
      <c r="L48" s="137"/>
    </row>
    <row r="49" spans="1:12" ht="128.25">
      <c r="A49" s="153" t="s">
        <v>205</v>
      </c>
      <c r="B49" s="154" t="s">
        <v>66</v>
      </c>
      <c r="C49" s="154" t="s">
        <v>206</v>
      </c>
      <c r="D49" s="154" t="s">
        <v>207</v>
      </c>
      <c r="E49" s="154"/>
      <c r="F49" s="154" t="s">
        <v>208</v>
      </c>
      <c r="G49" s="154" t="s">
        <v>71</v>
      </c>
      <c r="H49" s="137"/>
      <c r="I49" s="138"/>
      <c r="J49" s="137"/>
      <c r="K49" s="137"/>
      <c r="L49" s="137"/>
    </row>
    <row r="50" spans="1:12" ht="42.75">
      <c r="A50" s="153" t="s">
        <v>205</v>
      </c>
      <c r="B50" s="154" t="s">
        <v>134</v>
      </c>
      <c r="C50" s="154" t="s">
        <v>209</v>
      </c>
      <c r="D50" s="154" t="s">
        <v>210</v>
      </c>
      <c r="E50" s="154"/>
      <c r="F50" s="154" t="s">
        <v>167</v>
      </c>
      <c r="G50" s="154" t="s">
        <v>71</v>
      </c>
      <c r="H50" s="137"/>
      <c r="I50" s="138"/>
      <c r="J50" s="137"/>
      <c r="K50" s="137"/>
      <c r="L50" s="137"/>
    </row>
    <row r="51" spans="1:12" ht="114">
      <c r="A51" s="153" t="s">
        <v>205</v>
      </c>
      <c r="B51" s="154" t="s">
        <v>158</v>
      </c>
      <c r="C51" s="154" t="s">
        <v>211</v>
      </c>
      <c r="D51" s="154" t="s">
        <v>207</v>
      </c>
      <c r="E51" s="154"/>
      <c r="F51" s="154" t="s">
        <v>212</v>
      </c>
      <c r="G51" s="154" t="s">
        <v>71</v>
      </c>
      <c r="H51" s="137"/>
      <c r="I51" s="138"/>
      <c r="J51" s="137"/>
      <c r="K51" s="137"/>
      <c r="L51" s="137"/>
    </row>
    <row r="52" spans="1:12" ht="171">
      <c r="A52" s="153" t="s">
        <v>205</v>
      </c>
      <c r="B52" s="154" t="s">
        <v>66</v>
      </c>
      <c r="C52" s="154" t="s">
        <v>213</v>
      </c>
      <c r="D52" s="154" t="s">
        <v>214</v>
      </c>
      <c r="E52" s="154"/>
      <c r="F52" s="154" t="s">
        <v>116</v>
      </c>
      <c r="G52" s="154" t="s">
        <v>71</v>
      </c>
      <c r="H52" s="137"/>
      <c r="I52" s="138"/>
      <c r="J52" s="137"/>
      <c r="K52" s="137"/>
      <c r="L52" s="137"/>
    </row>
    <row r="53" spans="1:12" ht="171">
      <c r="A53" s="174" t="s">
        <v>215</v>
      </c>
      <c r="B53" s="175" t="s">
        <v>66</v>
      </c>
      <c r="C53" s="176" t="s">
        <v>216</v>
      </c>
      <c r="D53" s="175" t="s">
        <v>217</v>
      </c>
      <c r="E53" s="175" t="s">
        <v>98</v>
      </c>
      <c r="F53" s="175" t="s">
        <v>143</v>
      </c>
      <c r="G53" s="175" t="s">
        <v>71</v>
      </c>
      <c r="H53" s="137"/>
      <c r="I53" s="138"/>
      <c r="J53" s="137"/>
      <c r="K53" s="137"/>
      <c r="L53" s="137"/>
    </row>
    <row r="54" spans="1:12" ht="57">
      <c r="A54" s="174" t="s">
        <v>215</v>
      </c>
      <c r="B54" s="175" t="s">
        <v>66</v>
      </c>
      <c r="C54" s="175" t="s">
        <v>218</v>
      </c>
      <c r="D54" s="175" t="s">
        <v>219</v>
      </c>
      <c r="E54" s="175" t="s">
        <v>120</v>
      </c>
      <c r="F54" s="175" t="s">
        <v>121</v>
      </c>
      <c r="G54" s="175" t="s">
        <v>71</v>
      </c>
      <c r="H54" s="137"/>
      <c r="I54" s="138"/>
      <c r="J54" s="137"/>
      <c r="K54" s="137"/>
      <c r="L54" s="137"/>
    </row>
    <row r="55" spans="1:12" ht="56.1" customHeight="1">
      <c r="A55" s="174" t="s">
        <v>215</v>
      </c>
      <c r="B55" s="175" t="s">
        <v>66</v>
      </c>
      <c r="C55" s="175" t="s">
        <v>220</v>
      </c>
      <c r="D55" s="175" t="s">
        <v>219</v>
      </c>
      <c r="E55" s="175" t="s">
        <v>120</v>
      </c>
      <c r="F55" s="175" t="s">
        <v>121</v>
      </c>
      <c r="G55" s="175" t="s">
        <v>71</v>
      </c>
      <c r="H55" s="137"/>
      <c r="I55" s="138"/>
      <c r="J55" s="137"/>
      <c r="K55" s="137"/>
      <c r="L55" s="137"/>
    </row>
    <row r="56" spans="1:12" ht="128.25">
      <c r="A56" s="174" t="s">
        <v>215</v>
      </c>
      <c r="B56" s="175" t="s">
        <v>66</v>
      </c>
      <c r="C56" s="175" t="s">
        <v>221</v>
      </c>
      <c r="D56" s="175" t="s">
        <v>219</v>
      </c>
      <c r="E56" s="175" t="s">
        <v>222</v>
      </c>
      <c r="F56" s="175" t="s">
        <v>223</v>
      </c>
      <c r="G56" s="175" t="s">
        <v>71</v>
      </c>
      <c r="H56" s="137"/>
      <c r="I56" s="138"/>
      <c r="J56" s="137"/>
      <c r="K56" s="137"/>
      <c r="L56" s="137"/>
    </row>
    <row r="57" spans="1:12" s="124" customFormat="1" ht="85.5">
      <c r="A57" s="174" t="s">
        <v>215</v>
      </c>
      <c r="B57" s="175" t="s">
        <v>66</v>
      </c>
      <c r="C57" s="175" t="s">
        <v>224</v>
      </c>
      <c r="D57" s="175" t="s">
        <v>219</v>
      </c>
      <c r="E57" s="175" t="s">
        <v>225</v>
      </c>
      <c r="F57" s="175" t="s">
        <v>226</v>
      </c>
      <c r="G57" s="175" t="s">
        <v>227</v>
      </c>
      <c r="H57" s="137"/>
      <c r="I57" s="138"/>
      <c r="J57" s="137"/>
      <c r="K57" s="137"/>
      <c r="L57" s="137"/>
    </row>
    <row r="58" spans="1:12" ht="42.75">
      <c r="A58" s="177" t="s">
        <v>228</v>
      </c>
      <c r="B58" s="178" t="s">
        <v>66</v>
      </c>
      <c r="C58" s="178" t="s">
        <v>229</v>
      </c>
      <c r="D58" s="178" t="s">
        <v>230</v>
      </c>
      <c r="E58" s="178" t="s">
        <v>231</v>
      </c>
      <c r="F58" s="178" t="s">
        <v>232</v>
      </c>
      <c r="G58" s="178" t="s">
        <v>71</v>
      </c>
      <c r="H58" s="137"/>
      <c r="I58" s="138"/>
      <c r="J58" s="137"/>
      <c r="K58" s="137"/>
      <c r="L58" s="137"/>
    </row>
    <row r="59" spans="1:12" ht="156.75">
      <c r="A59" s="177" t="s">
        <v>228</v>
      </c>
      <c r="B59" s="178" t="s">
        <v>66</v>
      </c>
      <c r="C59" s="178" t="s">
        <v>233</v>
      </c>
      <c r="D59" s="178" t="s">
        <v>234</v>
      </c>
      <c r="E59" s="178" t="s">
        <v>235</v>
      </c>
      <c r="F59" s="178" t="s">
        <v>232</v>
      </c>
      <c r="G59" s="178" t="s">
        <v>71</v>
      </c>
      <c r="H59" s="137"/>
      <c r="I59" s="138"/>
      <c r="J59" s="137"/>
      <c r="K59" s="137"/>
      <c r="L59" s="137"/>
    </row>
    <row r="60" spans="1:12" ht="99.75">
      <c r="A60" s="156" t="s">
        <v>236</v>
      </c>
      <c r="B60" s="157" t="s">
        <v>66</v>
      </c>
      <c r="C60" s="157" t="s">
        <v>237</v>
      </c>
      <c r="D60" s="157" t="s">
        <v>238</v>
      </c>
      <c r="E60" s="157" t="s">
        <v>239</v>
      </c>
      <c r="F60" s="157" t="s">
        <v>116</v>
      </c>
      <c r="G60" s="157"/>
      <c r="H60" s="137"/>
      <c r="I60" s="138"/>
      <c r="J60" s="137"/>
      <c r="K60" s="137"/>
      <c r="L60" s="137"/>
    </row>
    <row r="61" spans="1:12" ht="128.25">
      <c r="A61" s="156" t="s">
        <v>236</v>
      </c>
      <c r="B61" s="157" t="s">
        <v>66</v>
      </c>
      <c r="C61" s="158" t="s">
        <v>240</v>
      </c>
      <c r="D61" s="157" t="s">
        <v>241</v>
      </c>
      <c r="E61" s="167" t="s">
        <v>242</v>
      </c>
      <c r="F61" s="157" t="s">
        <v>202</v>
      </c>
      <c r="G61" s="157" t="s">
        <v>71</v>
      </c>
      <c r="H61" s="137"/>
      <c r="I61" s="138"/>
      <c r="J61" s="137"/>
      <c r="K61" s="137"/>
      <c r="L61" s="137"/>
    </row>
    <row r="62" spans="1:12" ht="28.5">
      <c r="A62" s="156" t="s">
        <v>236</v>
      </c>
      <c r="B62" s="157" t="s">
        <v>66</v>
      </c>
      <c r="C62" s="157" t="s">
        <v>243</v>
      </c>
      <c r="D62" s="157" t="s">
        <v>241</v>
      </c>
      <c r="E62" s="157" t="s">
        <v>120</v>
      </c>
      <c r="F62" s="157" t="s">
        <v>121</v>
      </c>
      <c r="G62" s="157" t="s">
        <v>71</v>
      </c>
      <c r="H62" s="137"/>
      <c r="I62" s="138"/>
      <c r="J62" s="137"/>
      <c r="K62" s="137"/>
      <c r="L62" s="137"/>
    </row>
    <row r="63" spans="1:12" ht="57">
      <c r="A63" s="179" t="s">
        <v>244</v>
      </c>
      <c r="B63" s="180" t="s">
        <v>74</v>
      </c>
      <c r="C63" s="180" t="s">
        <v>245</v>
      </c>
      <c r="D63" s="180" t="s">
        <v>246</v>
      </c>
      <c r="E63" s="181" t="s">
        <v>247</v>
      </c>
      <c r="F63" s="181" t="s">
        <v>248</v>
      </c>
      <c r="G63" s="181" t="s">
        <v>249</v>
      </c>
      <c r="H63" s="141"/>
      <c r="I63" s="142"/>
      <c r="J63" s="141"/>
      <c r="K63" s="141"/>
      <c r="L63" s="141"/>
    </row>
    <row r="64" spans="1:12" ht="42.75">
      <c r="A64" s="179" t="s">
        <v>244</v>
      </c>
      <c r="B64" s="180" t="s">
        <v>134</v>
      </c>
      <c r="C64" s="180" t="s">
        <v>250</v>
      </c>
      <c r="D64" s="180" t="s">
        <v>246</v>
      </c>
      <c r="E64" s="181" t="s">
        <v>251</v>
      </c>
      <c r="F64" s="180" t="s">
        <v>167</v>
      </c>
      <c r="G64" s="180" t="s">
        <v>71</v>
      </c>
      <c r="H64" s="141"/>
      <c r="I64" s="142"/>
      <c r="J64" s="141"/>
      <c r="K64" s="141"/>
      <c r="L64" s="141"/>
    </row>
    <row r="65" spans="1:12" ht="28.5">
      <c r="A65" s="179" t="s">
        <v>244</v>
      </c>
      <c r="B65" s="180" t="s">
        <v>66</v>
      </c>
      <c r="C65" s="180" t="s">
        <v>252</v>
      </c>
      <c r="D65" s="180" t="s">
        <v>246</v>
      </c>
      <c r="E65" s="180" t="s">
        <v>120</v>
      </c>
      <c r="F65" s="180" t="s">
        <v>121</v>
      </c>
      <c r="G65" s="180" t="s">
        <v>71</v>
      </c>
      <c r="H65" s="141"/>
      <c r="I65" s="142"/>
      <c r="J65" s="141"/>
      <c r="K65" s="141"/>
      <c r="L65" s="141"/>
    </row>
  </sheetData>
  <mergeCells count="3">
    <mergeCell ref="I4:L4"/>
    <mergeCell ref="A4:G4"/>
    <mergeCell ref="A2:L2"/>
  </mergeCells>
  <phoneticPr fontId="68" type="noConversion"/>
  <conditionalFormatting sqref="A4 H5">
    <cfRule type="cellIs" dxfId="165" priority="35" operator="equal">
      <formula>"Overdue"</formula>
    </cfRule>
    <cfRule type="cellIs" dxfId="164" priority="36" operator="equal">
      <formula>"In Progress"</formula>
    </cfRule>
    <cfRule type="cellIs" dxfId="163" priority="37" operator="equal">
      <formula>"Completed"</formula>
    </cfRule>
  </conditionalFormatting>
  <conditionalFormatting sqref="A5">
    <cfRule type="cellIs" dxfId="162" priority="4" operator="equal">
      <formula>"Overdue"</formula>
    </cfRule>
    <cfRule type="cellIs" dxfId="161" priority="5" operator="equal">
      <formula>"In Progress"</formula>
    </cfRule>
    <cfRule type="cellIs" dxfId="160" priority="6" operator="equal">
      <formula>"Completed"</formula>
    </cfRule>
  </conditionalFormatting>
  <conditionalFormatting sqref="B5">
    <cfRule type="cellIs" dxfId="159" priority="32" operator="equal">
      <formula>"Overdue"</formula>
    </cfRule>
    <cfRule type="cellIs" dxfId="158" priority="33" operator="equal">
      <formula>"In Progress"</formula>
    </cfRule>
    <cfRule type="cellIs" dxfId="157" priority="34" operator="equal">
      <formula>"Completed"</formula>
    </cfRule>
  </conditionalFormatting>
  <conditionalFormatting sqref="C5">
    <cfRule type="cellIs" dxfId="156" priority="65" operator="equal">
      <formula>"Overdue"</formula>
    </cfRule>
    <cfRule type="cellIs" dxfId="155" priority="66" operator="equal">
      <formula>"In Progress"</formula>
    </cfRule>
    <cfRule type="cellIs" dxfId="154" priority="67" operator="equal">
      <formula>"Completed"</formula>
    </cfRule>
  </conditionalFormatting>
  <conditionalFormatting sqref="C5:D5">
    <cfRule type="cellIs" dxfId="153" priority="59" operator="equal">
      <formula>"Overdue"</formula>
    </cfRule>
    <cfRule type="cellIs" dxfId="152" priority="60" operator="equal">
      <formula>"In Progress"</formula>
    </cfRule>
    <cfRule type="cellIs" dxfId="151" priority="61" operator="equal">
      <formula>"Completed"</formula>
    </cfRule>
  </conditionalFormatting>
  <conditionalFormatting sqref="E5:F5">
    <cfRule type="cellIs" dxfId="150" priority="1" operator="equal">
      <formula>"Overdue"</formula>
    </cfRule>
    <cfRule type="cellIs" dxfId="149" priority="2" operator="equal">
      <formula>"In Progress"</formula>
    </cfRule>
    <cfRule type="cellIs" dxfId="148" priority="3" operator="equal">
      <formula>"Completed"</formula>
    </cfRule>
  </conditionalFormatting>
  <conditionalFormatting sqref="F57:F59">
    <cfRule type="containsBlanks" dxfId="147" priority="69">
      <formula>LEN(TRIM(F57))=0</formula>
    </cfRule>
  </conditionalFormatting>
  <conditionalFormatting sqref="F6:G56 E6:E64 A6:D65">
    <cfRule type="containsBlanks" dxfId="146" priority="11">
      <formula>LEN(TRIM(A6))=0</formula>
    </cfRule>
  </conditionalFormatting>
  <conditionalFormatting sqref="F60:G63">
    <cfRule type="containsBlanks" dxfId="145" priority="12">
      <formula>LEN(TRIM(F60))=0</formula>
    </cfRule>
  </conditionalFormatting>
  <conditionalFormatting sqref="G5">
    <cfRule type="cellIs" dxfId="144" priority="62" operator="equal">
      <formula>"Overdue"</formula>
    </cfRule>
    <cfRule type="cellIs" dxfId="143" priority="63" operator="equal">
      <formula>"In Progress"</formula>
    </cfRule>
    <cfRule type="cellIs" dxfId="142" priority="64" operator="equal">
      <formula>"Completed"</formula>
    </cfRule>
  </conditionalFormatting>
  <conditionalFormatting sqref="G57:G59">
    <cfRule type="containsBlanks" dxfId="141" priority="68">
      <formula>LEN(TRIM(G57))=0</formula>
    </cfRule>
  </conditionalFormatting>
  <conditionalFormatting sqref="I5:I6">
    <cfRule type="cellIs" dxfId="140" priority="13" operator="equal">
      <formula>"Overdue"</formula>
    </cfRule>
    <cfRule type="cellIs" dxfId="139" priority="14" operator="equal">
      <formula>"In Progress"</formula>
    </cfRule>
    <cfRule type="cellIs" dxfId="138" priority="15" operator="equal">
      <formula>"Completed"</formula>
    </cfRule>
  </conditionalFormatting>
  <conditionalFormatting sqref="I6">
    <cfRule type="colorScale" priority="24">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6" operator="containsText" id="{0A0A81D2-5B46-F746-B266-FCAEA4A107D2}">
            <xm:f>NOT(ISERROR(SEARCH(Summary!$A$25,I6)))</xm:f>
            <xm:f>Summary!$A$25</xm:f>
            <x14:dxf>
              <fill>
                <patternFill>
                  <bgColor theme="9" tint="0.59996337778862885"/>
                </patternFill>
              </fill>
            </x14:dxf>
          </x14:cfRule>
          <x14:cfRule type="containsText" priority="17" operator="containsText" id="{AA884E73-811A-354F-9EE0-309EF18F287C}">
            <xm:f>NOT(ISERROR(SEARCH(Summary!$A$24,I6)))</xm:f>
            <xm:f>Summary!$A$24</xm:f>
            <x14:dxf>
              <fill>
                <patternFill>
                  <bgColor rgb="FFFFC7CE"/>
                </patternFill>
              </fill>
            </x14:dxf>
          </x14:cfRule>
          <x14:cfRule type="containsText" priority="18" operator="containsText" id="{F953EBB8-7F8F-FD4D-97A4-D21A69E0FDC8}">
            <xm:f>NOT(ISERROR(SEARCH(Summary!$A$23,I6)))</xm:f>
            <xm:f>Summary!$A$23</xm:f>
            <x14:dxf>
              <fill>
                <patternFill>
                  <bgColor theme="9" tint="0.59996337778862885"/>
                </patternFill>
              </fill>
            </x14:dxf>
          </x14:cfRule>
          <x14:cfRule type="containsText" priority="19" operator="containsText" id="{A840FC76-22BC-E545-B8C4-3839DCC1A9F9}">
            <xm:f>NOT(ISERROR(SEARCH(Summary!$A$22,I6)))</xm:f>
            <xm:f>Summary!$A$22</xm:f>
            <x14:dxf>
              <fill>
                <patternFill>
                  <bgColor theme="7" tint="0.59996337778862885"/>
                </patternFill>
              </fill>
            </x14:dxf>
          </x14:cfRule>
          <x14:cfRule type="containsText" priority="20" operator="containsText" id="{07897078-BCF0-CB49-ADFC-48870DCE99B8}">
            <xm:f>NOT(ISERROR(SEARCH(Summary!$A$21,I6)))</xm:f>
            <xm:f>Summary!$A$21</xm:f>
            <x14:dxf>
              <fill>
                <patternFill>
                  <bgColor rgb="FFFFC7CE"/>
                </patternFill>
              </fill>
            </x14:dxf>
          </x14:cfRule>
          <x14:cfRule type="containsText" priority="21" operator="containsText" id="{0FCBF2C6-86E7-0841-8AC9-48CD2F99F9DF}">
            <xm:f>NOT(ISERROR(SEARCH(Summary!$A$20,I6)))</xm:f>
            <xm:f>Summary!$A$20</xm:f>
            <x14:dxf>
              <fill>
                <patternFill>
                  <bgColor theme="7" tint="0.59996337778862885"/>
                </patternFill>
              </fill>
            </x14:dxf>
          </x14:cfRule>
          <x14:cfRule type="containsText" priority="22" operator="containsText" id="{80103E6C-5C8D-B648-9C47-21DCC1CB7469}">
            <xm:f>NOT(ISERROR(SEARCH(Summary!$A$20,I6)))</xm:f>
            <xm:f>Summary!$A$20</xm:f>
            <x14:dxf>
              <fill>
                <patternFill>
                  <bgColor theme="7" tint="0.39994506668294322"/>
                </patternFill>
              </fill>
            </x14:dxf>
          </x14:cfRule>
          <x14:cfRule type="containsText" priority="23" operator="containsText" id="{1C06D241-0131-F049-8361-314008992A11}">
            <xm:f>NOT(ISERROR(SEARCH(Summary!$A$20,I6)))</xm:f>
            <xm:f>Summary!$A$20</xm:f>
            <x14:dxf/>
          </x14:cfRule>
          <xm:sqref>I6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928C477-26F8-C643-9DBD-B8D1B0873D60}">
          <x14:formula1>
            <xm:f>Summary!$A$20:$A$25</xm:f>
          </x14:formula1>
          <xm:sqref>I6:I65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8E2C-2395-41D8-9AA3-7D7B94B92A02}">
  <sheetPr>
    <tabColor theme="3" tint="0.59999389629810485"/>
  </sheetPr>
  <dimension ref="A2:N24"/>
  <sheetViews>
    <sheetView workbookViewId="0"/>
  </sheetViews>
  <sheetFormatPr defaultColWidth="11" defaultRowHeight="12" customHeight="1"/>
  <cols>
    <col min="1" max="1" width="26.5703125" style="1" customWidth="1"/>
    <col min="2" max="2" width="10" style="1" customWidth="1"/>
    <col min="3" max="4" width="30.140625" style="1" customWidth="1"/>
    <col min="5" max="5" width="49.5703125" style="1" customWidth="1"/>
    <col min="6" max="6" width="36.28515625" style="1" customWidth="1"/>
    <col min="7" max="7" width="20.140625" style="1" customWidth="1"/>
    <col min="8" max="8" width="31" style="1" customWidth="1"/>
    <col min="9" max="9" width="26.7109375" style="1" customWidth="1"/>
    <col min="10" max="10" width="15.140625" style="1" customWidth="1"/>
    <col min="11" max="11" width="32.85546875" style="1" customWidth="1"/>
    <col min="12" max="12" width="20.140625" style="1" customWidth="1"/>
    <col min="13" max="13" width="19.5703125" style="1" customWidth="1"/>
    <col min="14" max="14" width="23.42578125" style="1" customWidth="1"/>
    <col min="15" max="16384" width="11" style="1"/>
  </cols>
  <sheetData>
    <row r="2" spans="1:14" ht="24.75">
      <c r="A2" s="202" t="s">
        <v>9</v>
      </c>
      <c r="B2" s="202"/>
      <c r="C2" s="202"/>
      <c r="D2" s="202"/>
      <c r="E2" s="202"/>
      <c r="F2" s="202"/>
      <c r="G2" s="202"/>
      <c r="H2" s="202"/>
      <c r="I2" s="202"/>
      <c r="J2" s="202"/>
      <c r="K2" s="202"/>
      <c r="L2" s="202"/>
      <c r="M2" s="202"/>
      <c r="N2" s="202"/>
    </row>
    <row r="3" spans="1:14"/>
    <row r="4" spans="1:14" ht="14.1" customHeight="1">
      <c r="A4" s="203" t="s">
        <v>22</v>
      </c>
      <c r="B4" s="203"/>
      <c r="C4" s="203"/>
      <c r="D4" s="203"/>
      <c r="E4" s="203"/>
      <c r="F4" s="203"/>
      <c r="G4" s="203"/>
      <c r="H4" s="203"/>
      <c r="I4" s="203"/>
      <c r="J4" s="136"/>
      <c r="K4" s="203" t="s">
        <v>24</v>
      </c>
      <c r="L4" s="203"/>
      <c r="M4" s="203"/>
      <c r="N4" s="203"/>
    </row>
    <row r="5" spans="1:14" s="85" customFormat="1" ht="24">
      <c r="A5" s="86" t="s">
        <v>25</v>
      </c>
      <c r="B5" s="86" t="s">
        <v>26</v>
      </c>
      <c r="C5" s="86" t="s">
        <v>253</v>
      </c>
      <c r="D5" s="86" t="s">
        <v>27</v>
      </c>
      <c r="E5" s="86" t="s">
        <v>254</v>
      </c>
      <c r="F5" s="86" t="s">
        <v>255</v>
      </c>
      <c r="G5" s="86" t="s">
        <v>28</v>
      </c>
      <c r="H5" s="86" t="s">
        <v>29</v>
      </c>
      <c r="I5" s="86" t="s">
        <v>30</v>
      </c>
      <c r="J5" s="86" t="s">
        <v>33</v>
      </c>
      <c r="K5" s="125" t="s">
        <v>256</v>
      </c>
      <c r="L5" s="86" t="s">
        <v>24</v>
      </c>
      <c r="M5" s="86" t="s">
        <v>34</v>
      </c>
      <c r="N5" s="86" t="s">
        <v>257</v>
      </c>
    </row>
    <row r="6" spans="1:14" ht="60">
      <c r="A6" s="87" t="s">
        <v>258</v>
      </c>
      <c r="B6" s="87" t="s">
        <v>259</v>
      </c>
      <c r="C6" s="87" t="s">
        <v>260</v>
      </c>
      <c r="D6" s="87" t="s">
        <v>261</v>
      </c>
      <c r="E6" s="87" t="s">
        <v>262</v>
      </c>
      <c r="F6" s="87" t="s">
        <v>263</v>
      </c>
      <c r="G6" s="89" t="s">
        <v>264</v>
      </c>
      <c r="H6" s="89" t="s">
        <v>265</v>
      </c>
      <c r="I6" s="93" t="s">
        <v>266</v>
      </c>
      <c r="J6" s="119"/>
      <c r="K6" s="126" t="s">
        <v>267</v>
      </c>
      <c r="L6" s="117"/>
      <c r="M6" s="116"/>
      <c r="N6" s="116"/>
    </row>
    <row r="7" spans="1:14" ht="75.75" customHeight="1">
      <c r="A7" s="87" t="s">
        <v>258</v>
      </c>
      <c r="B7" s="87" t="s">
        <v>259</v>
      </c>
      <c r="C7" s="87" t="s">
        <v>260</v>
      </c>
      <c r="D7" s="87" t="s">
        <v>261</v>
      </c>
      <c r="E7" s="87" t="s">
        <v>262</v>
      </c>
      <c r="F7" s="87" t="s">
        <v>263</v>
      </c>
      <c r="G7" s="89" t="s">
        <v>264</v>
      </c>
      <c r="H7" s="89" t="s">
        <v>268</v>
      </c>
      <c r="I7" s="93" t="s">
        <v>266</v>
      </c>
      <c r="J7" s="119"/>
      <c r="K7" s="126" t="s">
        <v>267</v>
      </c>
      <c r="L7" s="117"/>
      <c r="M7" s="116"/>
      <c r="N7" s="116"/>
    </row>
    <row r="8" spans="1:14" ht="84">
      <c r="A8" s="87" t="s">
        <v>258</v>
      </c>
      <c r="B8" s="87" t="s">
        <v>259</v>
      </c>
      <c r="C8" s="87" t="s">
        <v>260</v>
      </c>
      <c r="D8" s="87" t="s">
        <v>269</v>
      </c>
      <c r="E8" s="89" t="s">
        <v>270</v>
      </c>
      <c r="F8" s="89" t="s">
        <v>271</v>
      </c>
      <c r="G8" s="89" t="s">
        <v>264</v>
      </c>
      <c r="H8" s="89" t="s">
        <v>265</v>
      </c>
      <c r="I8" s="93" t="s">
        <v>266</v>
      </c>
      <c r="J8" s="119"/>
      <c r="K8" s="126" t="s">
        <v>267</v>
      </c>
      <c r="L8" s="118"/>
      <c r="M8" s="79"/>
      <c r="N8" s="80"/>
    </row>
    <row r="9" spans="1:14" ht="84">
      <c r="A9" s="87" t="s">
        <v>258</v>
      </c>
      <c r="B9" s="87" t="s">
        <v>259</v>
      </c>
      <c r="C9" s="87" t="s">
        <v>260</v>
      </c>
      <c r="D9" s="87" t="s">
        <v>272</v>
      </c>
      <c r="E9" s="89" t="s">
        <v>270</v>
      </c>
      <c r="F9" s="89" t="s">
        <v>271</v>
      </c>
      <c r="G9" s="89" t="s">
        <v>264</v>
      </c>
      <c r="H9" s="89" t="s">
        <v>268</v>
      </c>
      <c r="I9" s="93" t="s">
        <v>266</v>
      </c>
      <c r="J9" s="119"/>
      <c r="K9" s="126" t="s">
        <v>267</v>
      </c>
      <c r="L9" s="118"/>
      <c r="M9" s="79"/>
      <c r="N9" s="80"/>
    </row>
    <row r="10" spans="1:14" ht="84">
      <c r="A10" s="87" t="s">
        <v>258</v>
      </c>
      <c r="B10" s="87" t="s">
        <v>259</v>
      </c>
      <c r="C10" s="87" t="s">
        <v>260</v>
      </c>
      <c r="D10" s="91" t="s">
        <v>273</v>
      </c>
      <c r="E10" s="89" t="s">
        <v>270</v>
      </c>
      <c r="F10" s="89" t="s">
        <v>271</v>
      </c>
      <c r="G10" s="89" t="s">
        <v>264</v>
      </c>
      <c r="H10" s="89" t="s">
        <v>274</v>
      </c>
      <c r="I10" s="93" t="s">
        <v>266</v>
      </c>
      <c r="J10" s="119"/>
      <c r="K10" s="126" t="s">
        <v>275</v>
      </c>
      <c r="L10" s="118"/>
      <c r="M10" s="79"/>
      <c r="N10" s="80"/>
    </row>
    <row r="11" spans="1:14" ht="84">
      <c r="A11" s="87" t="s">
        <v>258</v>
      </c>
      <c r="B11" s="87" t="s">
        <v>259</v>
      </c>
      <c r="C11" s="87" t="s">
        <v>260</v>
      </c>
      <c r="D11" s="91" t="s">
        <v>273</v>
      </c>
      <c r="E11" s="89" t="s">
        <v>270</v>
      </c>
      <c r="F11" s="89" t="s">
        <v>271</v>
      </c>
      <c r="G11" s="89" t="s">
        <v>264</v>
      </c>
      <c r="H11" s="89" t="s">
        <v>276</v>
      </c>
      <c r="I11" s="93" t="s">
        <v>266</v>
      </c>
      <c r="J11" s="119"/>
      <c r="K11" s="126" t="s">
        <v>277</v>
      </c>
      <c r="L11" s="118"/>
      <c r="M11" s="79"/>
      <c r="N11" s="80"/>
    </row>
    <row r="12" spans="1:14" ht="84">
      <c r="A12" s="87" t="s">
        <v>258</v>
      </c>
      <c r="B12" s="87" t="s">
        <v>259</v>
      </c>
      <c r="C12" s="87" t="s">
        <v>260</v>
      </c>
      <c r="D12" s="87" t="s">
        <v>278</v>
      </c>
      <c r="E12" s="89" t="s">
        <v>279</v>
      </c>
      <c r="F12" s="89" t="s">
        <v>280</v>
      </c>
      <c r="G12" s="89" t="s">
        <v>264</v>
      </c>
      <c r="H12" s="89" t="s">
        <v>281</v>
      </c>
      <c r="I12" s="93" t="s">
        <v>266</v>
      </c>
      <c r="J12" s="119"/>
      <c r="K12" s="126" t="s">
        <v>282</v>
      </c>
      <c r="L12" s="118"/>
      <c r="M12" s="79"/>
      <c r="N12" s="80"/>
    </row>
    <row r="13" spans="1:14" ht="60">
      <c r="A13" s="87" t="s">
        <v>258</v>
      </c>
      <c r="B13" s="87" t="s">
        <v>259</v>
      </c>
      <c r="C13" s="87" t="s">
        <v>260</v>
      </c>
      <c r="D13" s="87" t="s">
        <v>283</v>
      </c>
      <c r="E13" s="89" t="s">
        <v>284</v>
      </c>
      <c r="F13" s="89" t="s">
        <v>285</v>
      </c>
      <c r="G13" s="89" t="s">
        <v>264</v>
      </c>
      <c r="H13" s="89" t="s">
        <v>286</v>
      </c>
      <c r="I13" s="93" t="s">
        <v>266</v>
      </c>
      <c r="J13" s="119"/>
      <c r="K13" s="126" t="s">
        <v>287</v>
      </c>
      <c r="L13" s="118"/>
      <c r="M13" s="79"/>
      <c r="N13" s="80"/>
    </row>
    <row r="14" spans="1:14" ht="60">
      <c r="A14" s="87" t="s">
        <v>258</v>
      </c>
      <c r="B14" s="87" t="s">
        <v>259</v>
      </c>
      <c r="C14" s="87" t="s">
        <v>260</v>
      </c>
      <c r="D14" s="87" t="s">
        <v>283</v>
      </c>
      <c r="E14" s="89" t="s">
        <v>284</v>
      </c>
      <c r="F14" s="89" t="s">
        <v>285</v>
      </c>
      <c r="G14" s="89" t="s">
        <v>264</v>
      </c>
      <c r="H14" s="89" t="s">
        <v>288</v>
      </c>
      <c r="I14" s="93" t="s">
        <v>266</v>
      </c>
      <c r="J14" s="119"/>
      <c r="K14" s="126" t="s">
        <v>289</v>
      </c>
      <c r="L14" s="118"/>
      <c r="M14" s="79"/>
      <c r="N14" s="80"/>
    </row>
    <row r="15" spans="1:14" ht="84">
      <c r="A15" s="87" t="s">
        <v>258</v>
      </c>
      <c r="B15" s="87" t="s">
        <v>259</v>
      </c>
      <c r="C15" s="87" t="s">
        <v>260</v>
      </c>
      <c r="D15" s="87" t="s">
        <v>283</v>
      </c>
      <c r="E15" s="89" t="s">
        <v>284</v>
      </c>
      <c r="F15" s="89" t="s">
        <v>285</v>
      </c>
      <c r="G15" s="89" t="s">
        <v>264</v>
      </c>
      <c r="H15" s="89" t="s">
        <v>290</v>
      </c>
      <c r="I15" s="93" t="s">
        <v>266</v>
      </c>
      <c r="J15" s="119"/>
      <c r="K15" s="126" t="s">
        <v>291</v>
      </c>
      <c r="L15" s="118"/>
      <c r="M15" s="79"/>
      <c r="N15" s="80"/>
    </row>
    <row r="16" spans="1:14" ht="108">
      <c r="A16" s="87" t="s">
        <v>258</v>
      </c>
      <c r="B16" s="87" t="s">
        <v>259</v>
      </c>
      <c r="C16" s="89" t="s">
        <v>292</v>
      </c>
      <c r="D16" s="89" t="s">
        <v>293</v>
      </c>
      <c r="E16" s="89" t="s">
        <v>294</v>
      </c>
      <c r="F16" s="89" t="s">
        <v>295</v>
      </c>
      <c r="G16" s="89" t="s">
        <v>296</v>
      </c>
      <c r="H16" s="89" t="s">
        <v>297</v>
      </c>
      <c r="I16" s="93" t="s">
        <v>266</v>
      </c>
      <c r="J16" s="119"/>
      <c r="K16" s="126" t="s">
        <v>298</v>
      </c>
      <c r="L16" s="118"/>
      <c r="M16" s="79"/>
      <c r="N16" s="80"/>
    </row>
    <row r="17" spans="1:14" ht="72">
      <c r="A17" s="87" t="s">
        <v>258</v>
      </c>
      <c r="B17" s="87" t="s">
        <v>259</v>
      </c>
      <c r="C17" s="89" t="s">
        <v>292</v>
      </c>
      <c r="D17" s="89" t="s">
        <v>293</v>
      </c>
      <c r="E17" s="89" t="s">
        <v>294</v>
      </c>
      <c r="F17" s="89" t="s">
        <v>295</v>
      </c>
      <c r="G17" s="89" t="s">
        <v>296</v>
      </c>
      <c r="H17" s="89" t="s">
        <v>299</v>
      </c>
      <c r="I17" s="93" t="s">
        <v>266</v>
      </c>
      <c r="J17" s="119"/>
      <c r="K17" s="126" t="s">
        <v>300</v>
      </c>
      <c r="L17" s="118"/>
      <c r="M17" s="79"/>
      <c r="N17" s="80"/>
    </row>
    <row r="18" spans="1:14" ht="84">
      <c r="A18" s="87" t="s">
        <v>258</v>
      </c>
      <c r="B18" s="87" t="s">
        <v>259</v>
      </c>
      <c r="C18" s="89" t="s">
        <v>292</v>
      </c>
      <c r="D18" s="89" t="s">
        <v>301</v>
      </c>
      <c r="E18" s="89" t="s">
        <v>302</v>
      </c>
      <c r="F18" s="89" t="s">
        <v>303</v>
      </c>
      <c r="G18" s="89" t="s">
        <v>296</v>
      </c>
      <c r="H18" s="89" t="s">
        <v>304</v>
      </c>
      <c r="I18" s="93" t="s">
        <v>266</v>
      </c>
      <c r="J18" s="119"/>
      <c r="K18" s="126" t="s">
        <v>305</v>
      </c>
      <c r="L18" s="118"/>
      <c r="M18" s="79"/>
      <c r="N18" s="80"/>
    </row>
    <row r="19" spans="1:14" ht="84">
      <c r="A19" s="87" t="s">
        <v>258</v>
      </c>
      <c r="B19" s="87" t="s">
        <v>259</v>
      </c>
      <c r="C19" s="89" t="s">
        <v>292</v>
      </c>
      <c r="D19" s="89" t="s">
        <v>301</v>
      </c>
      <c r="E19" s="89" t="s">
        <v>302</v>
      </c>
      <c r="F19" s="89" t="s">
        <v>303</v>
      </c>
      <c r="G19" s="89" t="s">
        <v>296</v>
      </c>
      <c r="H19" s="89" t="s">
        <v>306</v>
      </c>
      <c r="I19" s="93" t="s">
        <v>266</v>
      </c>
      <c r="J19" s="119"/>
      <c r="K19" s="126" t="s">
        <v>307</v>
      </c>
      <c r="L19" s="118"/>
      <c r="M19" s="79"/>
      <c r="N19" s="80"/>
    </row>
    <row r="20" spans="1:14" ht="60">
      <c r="A20" s="87" t="s">
        <v>258</v>
      </c>
      <c r="B20" s="87" t="s">
        <v>259</v>
      </c>
      <c r="C20" s="89" t="s">
        <v>308</v>
      </c>
      <c r="D20" s="89" t="s">
        <v>309</v>
      </c>
      <c r="E20" s="89" t="s">
        <v>310</v>
      </c>
      <c r="F20" s="89" t="s">
        <v>311</v>
      </c>
      <c r="G20" s="89" t="s">
        <v>264</v>
      </c>
      <c r="H20" s="89" t="s">
        <v>265</v>
      </c>
      <c r="I20" s="93" t="s">
        <v>266</v>
      </c>
      <c r="J20" s="119"/>
      <c r="K20" s="126" t="s">
        <v>267</v>
      </c>
      <c r="L20" s="118"/>
      <c r="M20" s="79"/>
      <c r="N20" s="80"/>
    </row>
    <row r="21" spans="1:14" ht="60">
      <c r="A21" s="87" t="s">
        <v>258</v>
      </c>
      <c r="B21" s="87" t="s">
        <v>259</v>
      </c>
      <c r="C21" s="89" t="s">
        <v>308</v>
      </c>
      <c r="D21" s="89" t="s">
        <v>309</v>
      </c>
      <c r="E21" s="89" t="s">
        <v>310</v>
      </c>
      <c r="F21" s="89" t="s">
        <v>311</v>
      </c>
      <c r="G21" s="89" t="s">
        <v>264</v>
      </c>
      <c r="H21" s="89" t="s">
        <v>268</v>
      </c>
      <c r="I21" s="93" t="s">
        <v>266</v>
      </c>
      <c r="J21" s="119"/>
      <c r="K21" s="126" t="s">
        <v>267</v>
      </c>
      <c r="L21" s="118"/>
      <c r="M21" s="79"/>
      <c r="N21" s="80"/>
    </row>
    <row r="22" spans="1:14" ht="84">
      <c r="A22" s="87" t="s">
        <v>258</v>
      </c>
      <c r="B22" s="87" t="s">
        <v>259</v>
      </c>
      <c r="C22" s="89" t="s">
        <v>308</v>
      </c>
      <c r="D22" s="89" t="s">
        <v>312</v>
      </c>
      <c r="E22" s="89" t="s">
        <v>270</v>
      </c>
      <c r="F22" s="89" t="s">
        <v>313</v>
      </c>
      <c r="G22" s="89" t="s">
        <v>264</v>
      </c>
      <c r="H22" s="89" t="s">
        <v>286</v>
      </c>
      <c r="I22" s="93" t="s">
        <v>266</v>
      </c>
      <c r="J22" s="119"/>
      <c r="K22" s="126" t="s">
        <v>287</v>
      </c>
      <c r="L22" s="118"/>
      <c r="M22" s="79"/>
      <c r="N22" s="80"/>
    </row>
    <row r="23" spans="1:14" ht="84">
      <c r="A23" s="87" t="s">
        <v>258</v>
      </c>
      <c r="B23" s="87" t="s">
        <v>259</v>
      </c>
      <c r="C23" s="89" t="s">
        <v>308</v>
      </c>
      <c r="D23" s="89" t="s">
        <v>312</v>
      </c>
      <c r="E23" s="89" t="s">
        <v>270</v>
      </c>
      <c r="F23" s="89" t="s">
        <v>313</v>
      </c>
      <c r="G23" s="89" t="s">
        <v>264</v>
      </c>
      <c r="H23" s="89" t="s">
        <v>288</v>
      </c>
      <c r="I23" s="93" t="s">
        <v>266</v>
      </c>
      <c r="J23" s="119"/>
      <c r="K23" s="126" t="s">
        <v>289</v>
      </c>
      <c r="L23" s="118"/>
      <c r="M23" s="79"/>
      <c r="N23" s="80"/>
    </row>
    <row r="24" spans="1:14" ht="84">
      <c r="A24" s="87" t="s">
        <v>258</v>
      </c>
      <c r="B24" s="87" t="s">
        <v>259</v>
      </c>
      <c r="C24" s="89" t="s">
        <v>308</v>
      </c>
      <c r="D24" s="89" t="s">
        <v>312</v>
      </c>
      <c r="E24" s="89" t="s">
        <v>270</v>
      </c>
      <c r="F24" s="89" t="s">
        <v>313</v>
      </c>
      <c r="G24" s="89" t="s">
        <v>264</v>
      </c>
      <c r="H24" s="89" t="s">
        <v>290</v>
      </c>
      <c r="I24" s="93" t="s">
        <v>266</v>
      </c>
      <c r="J24" s="119"/>
      <c r="K24" s="126" t="s">
        <v>291</v>
      </c>
      <c r="L24" s="118"/>
      <c r="M24" s="79"/>
      <c r="N24" s="80"/>
    </row>
  </sheetData>
  <mergeCells count="3">
    <mergeCell ref="A2:N2"/>
    <mergeCell ref="A4:I4"/>
    <mergeCell ref="K4:N4"/>
  </mergeCells>
  <conditionalFormatting sqref="A4 A5:K5 L5:L24">
    <cfRule type="cellIs" dxfId="130" priority="13" operator="equal">
      <formula>"Overdue"</formula>
    </cfRule>
    <cfRule type="cellIs" dxfId="129" priority="14" operator="equal">
      <formula>"In Progress"</formula>
    </cfRule>
    <cfRule type="cellIs" dxfId="128" priority="15" operator="equal">
      <formula>"Completed"</formula>
    </cfRule>
  </conditionalFormatting>
  <conditionalFormatting sqref="L6:L24">
    <cfRule type="colorScale" priority="349">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341" operator="containsText" id="{BCA36812-21CE-8043-AC78-E0F58D80C49F}">
            <xm:f>NOT(ISERROR(SEARCH(Summary!$A$25,L6)))</xm:f>
            <xm:f>Summary!$A$25</xm:f>
            <x14:dxf>
              <fill>
                <patternFill>
                  <bgColor theme="9" tint="0.59996337778862885"/>
                </patternFill>
              </fill>
            </x14:dxf>
          </x14:cfRule>
          <x14:cfRule type="containsText" priority="342" operator="containsText" id="{AB449179-67A9-464B-85C5-C474346A8694}">
            <xm:f>NOT(ISERROR(SEARCH(Summary!$A$24,L6)))</xm:f>
            <xm:f>Summary!$A$24</xm:f>
            <x14:dxf>
              <fill>
                <patternFill>
                  <bgColor rgb="FFFFC7CE"/>
                </patternFill>
              </fill>
            </x14:dxf>
          </x14:cfRule>
          <x14:cfRule type="containsText" priority="343" operator="containsText" id="{B1ED624D-1AE5-684E-8268-3BBCC54D4A05}">
            <xm:f>NOT(ISERROR(SEARCH(Summary!$A$23,L6)))</xm:f>
            <xm:f>Summary!$A$23</xm:f>
            <x14:dxf>
              <fill>
                <patternFill>
                  <bgColor theme="9" tint="0.59996337778862885"/>
                </patternFill>
              </fill>
            </x14:dxf>
          </x14:cfRule>
          <x14:cfRule type="containsText" priority="344" operator="containsText" id="{9223C840-CD45-7F42-B842-0BD04AA48A06}">
            <xm:f>NOT(ISERROR(SEARCH(Summary!$A$22,L6)))</xm:f>
            <xm:f>Summary!$A$22</xm:f>
            <x14:dxf>
              <fill>
                <patternFill>
                  <bgColor theme="7" tint="0.59996337778862885"/>
                </patternFill>
              </fill>
            </x14:dxf>
          </x14:cfRule>
          <x14:cfRule type="containsText" priority="345" operator="containsText" id="{69EDD9E6-9C92-D645-8ECE-526D92B225F5}">
            <xm:f>NOT(ISERROR(SEARCH(Summary!$A$21,L6)))</xm:f>
            <xm:f>Summary!$A$21</xm:f>
            <x14:dxf>
              <fill>
                <patternFill>
                  <bgColor rgb="FFFFC7CE"/>
                </patternFill>
              </fill>
            </x14:dxf>
          </x14:cfRule>
          <x14:cfRule type="containsText" priority="346" operator="containsText" id="{08082A74-C6B2-094A-8E9A-0DF720839FD3}">
            <xm:f>NOT(ISERROR(SEARCH(Summary!$A$20,L6)))</xm:f>
            <xm:f>Summary!$A$20</xm:f>
            <x14:dxf>
              <fill>
                <patternFill>
                  <bgColor theme="7" tint="0.59996337778862885"/>
                </patternFill>
              </fill>
            </x14:dxf>
          </x14:cfRule>
          <x14:cfRule type="containsText" priority="347" operator="containsText" id="{C7CABBA5-1997-C24E-AC4A-812213A6C26F}">
            <xm:f>NOT(ISERROR(SEARCH(Summary!$A$20,L6)))</xm:f>
            <xm:f>Summary!$A$20</xm:f>
            <x14:dxf>
              <fill>
                <patternFill>
                  <bgColor theme="7" tint="0.39994506668294322"/>
                </patternFill>
              </fill>
            </x14:dxf>
          </x14:cfRule>
          <x14:cfRule type="containsText" priority="348" operator="containsText" id="{EB47451D-0049-8440-8866-3A6A088A3034}">
            <xm:f>NOT(ISERROR(SEARCH(Summary!$A$20,L6)))</xm:f>
            <xm:f>Summary!$A$20</xm:f>
            <x14:dxf/>
          </x14:cfRule>
          <xm:sqref>L6:L24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prompt="Please select from the list" xr:uid="{F29A6A78-402D-1542-9E27-26A07890276C}">
          <x14:formula1>
            <xm:f>Summary!$A$20:$A$25</xm:f>
          </x14:formula1>
          <xm:sqref>L6:L24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62B9-C3C5-4E62-858D-3E1F0B4AD660}">
  <sheetPr>
    <tabColor theme="7" tint="0.39997558519241921"/>
    <pageSetUpPr fitToPage="1"/>
  </sheetPr>
  <dimension ref="A2:K12"/>
  <sheetViews>
    <sheetView topLeftCell="C1" workbookViewId="0"/>
  </sheetViews>
  <sheetFormatPr defaultColWidth="11" defaultRowHeight="12" customHeight="1"/>
  <cols>
    <col min="1" max="2" width="14.140625" style="1" customWidth="1"/>
    <col min="3" max="3" width="77.5703125" style="1" customWidth="1"/>
    <col min="4" max="4" width="31.140625" style="1" customWidth="1"/>
    <col min="5" max="5" width="38" style="1" customWidth="1"/>
    <col min="6" max="6" width="29.85546875" style="1" customWidth="1"/>
    <col min="7" max="7" width="20.140625" style="1" customWidth="1"/>
    <col min="8" max="8" width="13" style="1" customWidth="1"/>
    <col min="9" max="9" width="21.42578125" style="1" customWidth="1"/>
    <col min="10" max="11" width="30.140625" style="1" customWidth="1"/>
    <col min="12" max="16384" width="11" style="1"/>
  </cols>
  <sheetData>
    <row r="2" spans="1:11" ht="24.75">
      <c r="A2" s="202" t="s">
        <v>9</v>
      </c>
      <c r="B2" s="202"/>
      <c r="C2" s="202"/>
      <c r="D2" s="202"/>
      <c r="E2" s="202"/>
      <c r="F2" s="202"/>
      <c r="G2" s="202"/>
      <c r="H2" s="202"/>
      <c r="I2" s="202"/>
      <c r="J2" s="202"/>
      <c r="K2" s="202"/>
    </row>
    <row r="3" spans="1:11"/>
    <row r="4" spans="1:11" s="85" customFormat="1" ht="33" customHeight="1">
      <c r="A4" s="203" t="s">
        <v>22</v>
      </c>
      <c r="B4" s="203"/>
      <c r="C4" s="203"/>
      <c r="D4" s="203"/>
      <c r="E4" s="203"/>
      <c r="F4" s="203"/>
      <c r="G4" s="203"/>
      <c r="H4" s="136"/>
      <c r="I4" s="203" t="s">
        <v>24</v>
      </c>
      <c r="J4" s="203"/>
      <c r="K4" s="203"/>
    </row>
    <row r="5" spans="1:11" s="85" customFormat="1" ht="36">
      <c r="A5" s="86" t="s">
        <v>25</v>
      </c>
      <c r="B5" s="99" t="s">
        <v>26</v>
      </c>
      <c r="C5" s="86" t="s">
        <v>314</v>
      </c>
      <c r="D5" s="86" t="s">
        <v>59</v>
      </c>
      <c r="E5" s="86" t="s">
        <v>60</v>
      </c>
      <c r="F5" s="86" t="s">
        <v>315</v>
      </c>
      <c r="G5" s="86" t="s">
        <v>30</v>
      </c>
      <c r="H5" s="86" t="s">
        <v>33</v>
      </c>
      <c r="I5" s="86" t="s">
        <v>24</v>
      </c>
      <c r="J5" s="86" t="s">
        <v>34</v>
      </c>
      <c r="K5" s="86" t="s">
        <v>257</v>
      </c>
    </row>
    <row r="6" spans="1:11" ht="168">
      <c r="A6" s="182" t="s">
        <v>316</v>
      </c>
      <c r="B6" s="100" t="s">
        <v>134</v>
      </c>
      <c r="C6" s="87" t="s">
        <v>317</v>
      </c>
      <c r="D6" s="87" t="s">
        <v>318</v>
      </c>
      <c r="E6" s="87" t="s">
        <v>319</v>
      </c>
      <c r="F6" s="87"/>
      <c r="G6" s="101" t="s">
        <v>71</v>
      </c>
      <c r="H6" s="37"/>
      <c r="I6" s="35"/>
      <c r="J6" s="32"/>
      <c r="K6" s="32"/>
    </row>
    <row r="7" spans="1:11" ht="60">
      <c r="A7" s="87" t="s">
        <v>320</v>
      </c>
      <c r="B7" s="100" t="s">
        <v>66</v>
      </c>
      <c r="C7" s="89" t="s">
        <v>321</v>
      </c>
      <c r="D7" s="87" t="s">
        <v>322</v>
      </c>
      <c r="E7" s="102" t="s">
        <v>323</v>
      </c>
      <c r="F7" s="102"/>
      <c r="G7" s="103" t="s">
        <v>323</v>
      </c>
      <c r="H7" s="15"/>
      <c r="I7" s="30"/>
      <c r="J7" s="18"/>
      <c r="K7" s="19"/>
    </row>
    <row r="8" spans="1:11" ht="372.95" customHeight="1">
      <c r="A8" s="87" t="s">
        <v>320</v>
      </c>
      <c r="B8" s="100" t="s">
        <v>66</v>
      </c>
      <c r="C8" s="89" t="s">
        <v>324</v>
      </c>
      <c r="D8" s="87" t="s">
        <v>325</v>
      </c>
      <c r="E8" s="104" t="s">
        <v>326</v>
      </c>
      <c r="F8" s="94"/>
      <c r="G8" s="89" t="s">
        <v>327</v>
      </c>
      <c r="H8" s="17"/>
      <c r="I8" s="30"/>
      <c r="J8" s="20"/>
      <c r="K8" s="21"/>
    </row>
    <row r="9" spans="1:11" ht="192">
      <c r="A9" s="87" t="s">
        <v>320</v>
      </c>
      <c r="B9" s="100" t="s">
        <v>66</v>
      </c>
      <c r="C9" s="89" t="s">
        <v>328</v>
      </c>
      <c r="D9" s="87" t="s">
        <v>329</v>
      </c>
      <c r="E9" s="94" t="s">
        <v>326</v>
      </c>
      <c r="F9" s="94"/>
      <c r="G9" s="89" t="s">
        <v>327</v>
      </c>
      <c r="H9" s="17"/>
      <c r="I9" s="30"/>
      <c r="J9" s="20"/>
      <c r="K9" s="21"/>
    </row>
    <row r="10" spans="1:11" ht="60">
      <c r="A10" s="89" t="s">
        <v>330</v>
      </c>
      <c r="B10" s="104" t="s">
        <v>66</v>
      </c>
      <c r="C10" s="89" t="s">
        <v>331</v>
      </c>
      <c r="D10" s="87" t="s">
        <v>332</v>
      </c>
      <c r="E10" s="89" t="s">
        <v>333</v>
      </c>
      <c r="F10" s="89"/>
      <c r="G10" s="89" t="s">
        <v>334</v>
      </c>
      <c r="H10" s="17"/>
      <c r="I10" s="30"/>
      <c r="J10" s="20"/>
      <c r="K10" s="21"/>
    </row>
    <row r="11" spans="1:11" ht="60">
      <c r="A11" s="89" t="s">
        <v>330</v>
      </c>
      <c r="B11" s="104" t="s">
        <v>66</v>
      </c>
      <c r="C11" s="105" t="s">
        <v>335</v>
      </c>
      <c r="D11" s="87" t="s">
        <v>332</v>
      </c>
      <c r="E11" s="94" t="s">
        <v>326</v>
      </c>
      <c r="F11" s="94"/>
      <c r="G11" s="89" t="s">
        <v>327</v>
      </c>
      <c r="H11" s="17"/>
      <c r="I11" s="30"/>
      <c r="J11" s="20"/>
      <c r="K11" s="21"/>
    </row>
    <row r="12" spans="1:11" ht="60">
      <c r="A12" s="89" t="s">
        <v>330</v>
      </c>
      <c r="B12" s="104" t="s">
        <v>66</v>
      </c>
      <c r="C12" s="105" t="s">
        <v>336</v>
      </c>
      <c r="D12" s="87" t="s">
        <v>332</v>
      </c>
      <c r="E12" s="94" t="s">
        <v>326</v>
      </c>
      <c r="F12" s="94"/>
      <c r="G12" s="89" t="s">
        <v>327</v>
      </c>
      <c r="H12" s="17"/>
      <c r="I12" s="30"/>
      <c r="J12" s="20"/>
      <c r="K12" s="21"/>
    </row>
  </sheetData>
  <autoFilter ref="A5:K5" xr:uid="{EAF9F12B-6DB0-4681-8E8E-7BC640BCB124}"/>
  <mergeCells count="3">
    <mergeCell ref="A2:K2"/>
    <mergeCell ref="A4:G4"/>
    <mergeCell ref="I4:K4"/>
  </mergeCells>
  <conditionalFormatting sqref="A4 A5:H5">
    <cfRule type="cellIs" dxfId="120" priority="13" operator="equal">
      <formula>"Overdue"</formula>
    </cfRule>
    <cfRule type="cellIs" dxfId="119" priority="14" operator="equal">
      <formula>"In Progress"</formula>
    </cfRule>
    <cfRule type="cellIs" dxfId="118" priority="15" operator="equal">
      <formula>"Completed"</formula>
    </cfRule>
  </conditionalFormatting>
  <conditionalFormatting sqref="I5:I12">
    <cfRule type="cellIs" dxfId="117" priority="20" operator="equal">
      <formula>"Overdue"</formula>
    </cfRule>
    <cfRule type="cellIs" dxfId="116" priority="21" operator="equal">
      <formula>"In Progress"</formula>
    </cfRule>
    <cfRule type="cellIs" dxfId="115" priority="22" operator="equal">
      <formula>"Completed"</formula>
    </cfRule>
  </conditionalFormatting>
  <conditionalFormatting sqref="I6:I12">
    <cfRule type="colorScale" priority="276">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46" fitToHeight="0" orientation="landscape" r:id="rId1"/>
  <headerFooter>
    <oddHeader>&amp;L&amp;G&amp;R&amp;"Arial,Bold"&amp;16Environmental Compliance Obligations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268" operator="containsText" id="{D8E55690-BB64-4C66-BF50-4AD0BF49BC90}">
            <xm:f>NOT(ISERROR(SEARCH(Summary!$A$25,I6)))</xm:f>
            <xm:f>Summary!$A$25</xm:f>
            <x14:dxf>
              <fill>
                <patternFill>
                  <bgColor theme="9" tint="0.59996337778862885"/>
                </patternFill>
              </fill>
            </x14:dxf>
          </x14:cfRule>
          <x14:cfRule type="containsText" priority="269" operator="containsText" id="{C4356352-7B66-454E-A8BE-136389818198}">
            <xm:f>NOT(ISERROR(SEARCH(Summary!$A$24,I6)))</xm:f>
            <xm:f>Summary!$A$24</xm:f>
            <x14:dxf>
              <fill>
                <patternFill>
                  <bgColor rgb="FFFFC7CE"/>
                </patternFill>
              </fill>
            </x14:dxf>
          </x14:cfRule>
          <x14:cfRule type="containsText" priority="270" operator="containsText" id="{FEF909D9-92D9-47D3-A6C2-C0250AFE0AA7}">
            <xm:f>NOT(ISERROR(SEARCH(Summary!$A$23,I6)))</xm:f>
            <xm:f>Summary!$A$23</xm:f>
            <x14:dxf>
              <fill>
                <patternFill>
                  <bgColor theme="9" tint="0.59996337778862885"/>
                </patternFill>
              </fill>
            </x14:dxf>
          </x14:cfRule>
          <x14:cfRule type="containsText" priority="271" operator="containsText" id="{8B6C6C57-2D4E-4F4D-9894-8D214A5D98B3}">
            <xm:f>NOT(ISERROR(SEARCH(Summary!$A$22,I6)))</xm:f>
            <xm:f>Summary!$A$22</xm:f>
            <x14:dxf>
              <fill>
                <patternFill>
                  <bgColor theme="7" tint="0.59996337778862885"/>
                </patternFill>
              </fill>
            </x14:dxf>
          </x14:cfRule>
          <x14:cfRule type="containsText" priority="272" operator="containsText" id="{FCA8B804-13CD-4735-95EE-3FB5B4374DF2}">
            <xm:f>NOT(ISERROR(SEARCH(Summary!$A$21,I6)))</xm:f>
            <xm:f>Summary!$A$21</xm:f>
            <x14:dxf>
              <fill>
                <patternFill>
                  <bgColor rgb="FFFFC7CE"/>
                </patternFill>
              </fill>
            </x14:dxf>
          </x14:cfRule>
          <x14:cfRule type="containsText" priority="273" operator="containsText" id="{6D4CCFD7-84A3-4008-9C86-F08DDAEC0A14}">
            <xm:f>NOT(ISERROR(SEARCH(Summary!$A$20,I6)))</xm:f>
            <xm:f>Summary!$A$20</xm:f>
            <x14:dxf>
              <fill>
                <patternFill>
                  <bgColor theme="7" tint="0.59996337778862885"/>
                </patternFill>
              </fill>
            </x14:dxf>
          </x14:cfRule>
          <x14:cfRule type="containsText" priority="274" operator="containsText" id="{8730DFD3-59A7-478F-B4B3-D54F200E21B7}">
            <xm:f>NOT(ISERROR(SEARCH(Summary!$A$20,I6)))</xm:f>
            <xm:f>Summary!$A$20</xm:f>
            <x14:dxf>
              <fill>
                <patternFill>
                  <bgColor theme="7" tint="0.39994506668294322"/>
                </patternFill>
              </fill>
            </x14:dxf>
          </x14:cfRule>
          <x14:cfRule type="containsText" priority="275" operator="containsText" id="{7099DCF6-0E90-418F-8074-283166C2BD33}">
            <xm:f>NOT(ISERROR(SEARCH(Summary!$A$20,I6)))</xm:f>
            <xm:f>Summary!$A$20</xm:f>
            <x14:dxf/>
          </x14:cfRule>
          <xm:sqref>I6:I12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prompt="Please select from the list" xr:uid="{769A1832-D7E7-4B45-B162-88F0A15C0CA9}">
          <x14:formula1>
            <xm:f>Summary!$A$20:$A$25</xm:f>
          </x14:formula1>
          <xm:sqref>I6:I12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7127-F7F9-47AE-9E66-E927860AEB0F}">
  <sheetPr>
    <tabColor theme="7" tint="0.39997558519241921"/>
  </sheetPr>
  <dimension ref="A2:N49"/>
  <sheetViews>
    <sheetView topLeftCell="I1" workbookViewId="0">
      <selection activeCell="L8" sqref="L8"/>
    </sheetView>
  </sheetViews>
  <sheetFormatPr defaultRowHeight="12"/>
  <cols>
    <col min="1" max="1" width="25" style="1" customWidth="1"/>
    <col min="2" max="2" width="25.5703125" style="1" customWidth="1"/>
    <col min="3" max="3" width="43.5703125" style="1" customWidth="1"/>
    <col min="4" max="4" width="18.28515625" style="1" hidden="1" customWidth="1"/>
    <col min="5" max="6" width="36" style="1" customWidth="1"/>
    <col min="7" max="7" width="23.85546875" style="1" hidden="1" customWidth="1"/>
    <col min="8" max="18" width="36" style="1" customWidth="1"/>
    <col min="19" max="16384" width="9.140625" style="1"/>
  </cols>
  <sheetData>
    <row r="2" spans="1:14">
      <c r="A2" s="211" t="s">
        <v>9</v>
      </c>
      <c r="B2" s="211"/>
      <c r="C2" s="211"/>
      <c r="D2" s="211"/>
      <c r="E2" s="211"/>
      <c r="F2" s="211"/>
      <c r="G2" s="211"/>
      <c r="H2" s="211"/>
      <c r="I2" s="211"/>
      <c r="J2" s="211"/>
      <c r="K2" s="211"/>
    </row>
    <row r="4" spans="1:14">
      <c r="A4" s="212" t="s">
        <v>22</v>
      </c>
      <c r="B4" s="212"/>
      <c r="C4" s="212"/>
      <c r="D4" s="212"/>
      <c r="E4" s="212"/>
      <c r="F4" s="212"/>
      <c r="G4" s="212"/>
      <c r="H4" s="192"/>
      <c r="I4" s="212" t="s">
        <v>24</v>
      </c>
      <c r="J4" s="212"/>
      <c r="K4" s="212"/>
    </row>
    <row r="5" spans="1:14">
      <c r="A5" s="86" t="s">
        <v>25</v>
      </c>
      <c r="B5" s="99" t="s">
        <v>26</v>
      </c>
      <c r="C5" s="86" t="s">
        <v>314</v>
      </c>
      <c r="D5" s="86" t="s">
        <v>59</v>
      </c>
      <c r="E5" s="86" t="s">
        <v>60</v>
      </c>
      <c r="F5" s="86" t="s">
        <v>315</v>
      </c>
      <c r="G5" s="86" t="s">
        <v>30</v>
      </c>
      <c r="H5" s="86" t="s">
        <v>33</v>
      </c>
      <c r="I5" s="86" t="s">
        <v>24</v>
      </c>
      <c r="J5" s="86" t="s">
        <v>34</v>
      </c>
      <c r="K5" s="86" t="s">
        <v>257</v>
      </c>
      <c r="L5" s="86" t="s">
        <v>859</v>
      </c>
      <c r="M5" s="86" t="s">
        <v>859</v>
      </c>
    </row>
    <row r="6" spans="1:14" ht="48">
      <c r="A6" s="191" t="s">
        <v>337</v>
      </c>
      <c r="B6" s="191" t="s">
        <v>338</v>
      </c>
      <c r="C6" s="191" t="s">
        <v>339</v>
      </c>
      <c r="D6" s="191" t="s">
        <v>340</v>
      </c>
      <c r="E6" s="191" t="s">
        <v>341</v>
      </c>
      <c r="F6" s="191" t="s">
        <v>342</v>
      </c>
      <c r="G6" s="191" t="s">
        <v>45</v>
      </c>
      <c r="H6" s="191" t="s">
        <v>343</v>
      </c>
      <c r="I6" s="185" t="s">
        <v>344</v>
      </c>
      <c r="J6" s="185" t="s">
        <v>345</v>
      </c>
      <c r="K6" s="191" t="s">
        <v>346</v>
      </c>
      <c r="L6" s="134" t="s">
        <v>862</v>
      </c>
      <c r="M6" s="134" t="s">
        <v>866</v>
      </c>
    </row>
    <row r="7" spans="1:14" ht="36">
      <c r="A7" s="1" t="s">
        <v>347</v>
      </c>
      <c r="B7" s="1" t="s">
        <v>338</v>
      </c>
      <c r="C7" s="1" t="s">
        <v>348</v>
      </c>
      <c r="D7" s="1" t="s">
        <v>349</v>
      </c>
      <c r="E7" s="1" t="s">
        <v>350</v>
      </c>
      <c r="F7" s="1" t="s">
        <v>351</v>
      </c>
      <c r="G7" s="1" t="s">
        <v>249</v>
      </c>
      <c r="H7" s="1" t="s">
        <v>66</v>
      </c>
      <c r="I7" s="185" t="s">
        <v>344</v>
      </c>
      <c r="J7" s="185" t="s">
        <v>345</v>
      </c>
      <c r="K7" s="1" t="s">
        <v>352</v>
      </c>
      <c r="L7" s="134" t="s">
        <v>862</v>
      </c>
    </row>
    <row r="8" spans="1:14" ht="36">
      <c r="A8" s="1" t="s">
        <v>347</v>
      </c>
      <c r="B8" s="1" t="s">
        <v>353</v>
      </c>
      <c r="C8" s="1" t="s">
        <v>354</v>
      </c>
      <c r="D8" s="1" t="s">
        <v>355</v>
      </c>
      <c r="E8" s="1" t="s">
        <v>356</v>
      </c>
      <c r="F8" s="1" t="s">
        <v>357</v>
      </c>
      <c r="G8" s="1" t="s">
        <v>266</v>
      </c>
      <c r="H8" s="1" t="s">
        <v>358</v>
      </c>
      <c r="I8" s="185" t="s">
        <v>344</v>
      </c>
      <c r="J8" s="185" t="s">
        <v>359</v>
      </c>
      <c r="K8" s="1" t="s">
        <v>360</v>
      </c>
      <c r="L8" s="1" t="s">
        <v>865</v>
      </c>
    </row>
    <row r="9" spans="1:14" ht="36">
      <c r="A9" s="1" t="s">
        <v>361</v>
      </c>
      <c r="B9" s="1" t="s">
        <v>338</v>
      </c>
      <c r="C9" s="1" t="s">
        <v>362</v>
      </c>
      <c r="D9" s="1" t="s">
        <v>363</v>
      </c>
      <c r="E9" s="1" t="s">
        <v>364</v>
      </c>
      <c r="F9" s="1" t="s">
        <v>351</v>
      </c>
      <c r="G9" s="1" t="s">
        <v>365</v>
      </c>
      <c r="H9" s="1" t="s">
        <v>366</v>
      </c>
      <c r="I9" s="186" t="s">
        <v>51</v>
      </c>
      <c r="J9" s="185" t="s">
        <v>367</v>
      </c>
      <c r="K9" s="1" t="s">
        <v>368</v>
      </c>
      <c r="L9" s="134" t="s">
        <v>860</v>
      </c>
      <c r="M9" s="134" t="s">
        <v>866</v>
      </c>
    </row>
    <row r="10" spans="1:14" ht="36">
      <c r="A10" s="1" t="s">
        <v>361</v>
      </c>
      <c r="B10" s="1" t="s">
        <v>369</v>
      </c>
      <c r="C10" s="1" t="s">
        <v>370</v>
      </c>
      <c r="D10" s="1" t="s">
        <v>371</v>
      </c>
      <c r="E10" s="1" t="s">
        <v>372</v>
      </c>
      <c r="F10" s="1" t="s">
        <v>373</v>
      </c>
      <c r="G10" s="1" t="s">
        <v>45</v>
      </c>
      <c r="H10" s="1" t="s">
        <v>374</v>
      </c>
      <c r="I10" s="185" t="s">
        <v>344</v>
      </c>
      <c r="J10" s="185" t="s">
        <v>375</v>
      </c>
      <c r="K10" s="1" t="s">
        <v>376</v>
      </c>
      <c r="L10" s="134" t="s">
        <v>864</v>
      </c>
    </row>
    <row r="11" spans="1:14" ht="24">
      <c r="A11" s="1" t="s">
        <v>361</v>
      </c>
      <c r="B11" s="1" t="s">
        <v>338</v>
      </c>
      <c r="C11" s="1" t="s">
        <v>377</v>
      </c>
      <c r="D11" s="1" t="s">
        <v>378</v>
      </c>
      <c r="E11" s="1" t="s">
        <v>379</v>
      </c>
      <c r="F11" s="1" t="s">
        <v>380</v>
      </c>
      <c r="G11" s="1" t="s">
        <v>381</v>
      </c>
      <c r="H11" s="1" t="s">
        <v>343</v>
      </c>
      <c r="I11" s="185" t="s">
        <v>344</v>
      </c>
      <c r="J11" s="185" t="s">
        <v>626</v>
      </c>
      <c r="K11" s="1" t="s">
        <v>382</v>
      </c>
      <c r="L11" s="134" t="s">
        <v>870</v>
      </c>
      <c r="M11" s="134" t="s">
        <v>866</v>
      </c>
    </row>
    <row r="12" spans="1:14" ht="48">
      <c r="A12" s="1" t="s">
        <v>361</v>
      </c>
      <c r="B12" s="1" t="s">
        <v>338</v>
      </c>
      <c r="C12" s="1" t="s">
        <v>383</v>
      </c>
      <c r="D12" s="1" t="s">
        <v>384</v>
      </c>
      <c r="E12" s="1" t="s">
        <v>385</v>
      </c>
      <c r="F12" s="1" t="s">
        <v>380</v>
      </c>
      <c r="G12" s="1" t="s">
        <v>386</v>
      </c>
      <c r="H12" s="1" t="s">
        <v>343</v>
      </c>
      <c r="I12" s="186" t="s">
        <v>51</v>
      </c>
      <c r="J12" s="186" t="s">
        <v>774</v>
      </c>
      <c r="K12" s="1" t="s">
        <v>387</v>
      </c>
      <c r="L12" s="134" t="s">
        <v>775</v>
      </c>
      <c r="M12" s="134" t="s">
        <v>866</v>
      </c>
      <c r="N12" s="197" t="s">
        <v>776</v>
      </c>
    </row>
    <row r="13" spans="1:14" ht="24">
      <c r="A13" s="1" t="s">
        <v>388</v>
      </c>
      <c r="B13" s="1" t="s">
        <v>389</v>
      </c>
      <c r="C13" s="1" t="s">
        <v>390</v>
      </c>
      <c r="D13" s="1" t="s">
        <v>391</v>
      </c>
      <c r="E13" s="1" t="s">
        <v>392</v>
      </c>
      <c r="F13" s="1" t="s">
        <v>393</v>
      </c>
      <c r="G13" s="1" t="s">
        <v>249</v>
      </c>
      <c r="H13" s="1" t="s">
        <v>389</v>
      </c>
      <c r="I13" s="185" t="s">
        <v>344</v>
      </c>
      <c r="J13" s="185" t="s">
        <v>779</v>
      </c>
      <c r="K13" s="1" t="s">
        <v>394</v>
      </c>
      <c r="L13" s="1" t="s">
        <v>865</v>
      </c>
      <c r="M13" s="134" t="s">
        <v>866</v>
      </c>
    </row>
    <row r="14" spans="1:14" ht="36">
      <c r="A14" s="1" t="s">
        <v>395</v>
      </c>
      <c r="B14" s="1" t="s">
        <v>396</v>
      </c>
      <c r="C14" s="1" t="s">
        <v>397</v>
      </c>
      <c r="D14" s="1" t="s">
        <v>398</v>
      </c>
      <c r="E14" s="1" t="s">
        <v>399</v>
      </c>
      <c r="F14" s="1" t="s">
        <v>380</v>
      </c>
      <c r="G14" s="1" t="s">
        <v>45</v>
      </c>
      <c r="H14" s="1" t="s">
        <v>343</v>
      </c>
      <c r="I14" s="185" t="s">
        <v>343</v>
      </c>
      <c r="J14" s="186" t="s">
        <v>777</v>
      </c>
      <c r="K14" s="1" t="s">
        <v>400</v>
      </c>
      <c r="L14" s="134" t="s">
        <v>866</v>
      </c>
      <c r="M14" s="134" t="s">
        <v>863</v>
      </c>
    </row>
    <row r="15" spans="1:14" ht="36">
      <c r="A15" s="1" t="s">
        <v>395</v>
      </c>
      <c r="B15" s="1" t="s">
        <v>396</v>
      </c>
      <c r="C15" s="1" t="s">
        <v>401</v>
      </c>
      <c r="D15" s="1" t="s">
        <v>402</v>
      </c>
      <c r="E15" s="1" t="s">
        <v>403</v>
      </c>
      <c r="F15" s="1" t="s">
        <v>380</v>
      </c>
      <c r="G15" s="1" t="s">
        <v>266</v>
      </c>
      <c r="H15" s="1" t="s">
        <v>343</v>
      </c>
      <c r="I15" s="185" t="s">
        <v>343</v>
      </c>
      <c r="J15" s="186" t="s">
        <v>777</v>
      </c>
      <c r="K15" s="1" t="s">
        <v>404</v>
      </c>
      <c r="L15" s="1" t="s">
        <v>867</v>
      </c>
    </row>
    <row r="16" spans="1:14" ht="24">
      <c r="A16" s="1" t="s">
        <v>395</v>
      </c>
      <c r="B16" s="1" t="s">
        <v>405</v>
      </c>
      <c r="C16" s="1" t="s">
        <v>406</v>
      </c>
      <c r="D16" s="1" t="s">
        <v>407</v>
      </c>
      <c r="E16" s="1" t="s">
        <v>408</v>
      </c>
      <c r="F16" s="1" t="s">
        <v>380</v>
      </c>
      <c r="G16" s="1" t="s">
        <v>409</v>
      </c>
      <c r="H16" s="1" t="s">
        <v>343</v>
      </c>
      <c r="I16" s="185" t="s">
        <v>343</v>
      </c>
      <c r="J16" s="186" t="s">
        <v>778</v>
      </c>
      <c r="K16" s="1" t="s">
        <v>387</v>
      </c>
      <c r="L16" s="134" t="s">
        <v>866</v>
      </c>
      <c r="M16" s="134" t="s">
        <v>863</v>
      </c>
    </row>
    <row r="17" spans="1:13" ht="36">
      <c r="A17" s="1" t="s">
        <v>395</v>
      </c>
      <c r="B17" s="1" t="s">
        <v>410</v>
      </c>
      <c r="C17" s="1" t="s">
        <v>411</v>
      </c>
      <c r="D17" s="1" t="s">
        <v>412</v>
      </c>
      <c r="E17" s="1" t="s">
        <v>413</v>
      </c>
      <c r="F17" s="1" t="s">
        <v>380</v>
      </c>
      <c r="G17" s="1" t="s">
        <v>414</v>
      </c>
      <c r="H17" s="1" t="s">
        <v>343</v>
      </c>
      <c r="I17" s="185" t="s">
        <v>343</v>
      </c>
      <c r="J17" s="186" t="s">
        <v>780</v>
      </c>
      <c r="K17" s="1" t="s">
        <v>415</v>
      </c>
      <c r="L17" s="134" t="s">
        <v>866</v>
      </c>
      <c r="M17" s="1" t="s">
        <v>868</v>
      </c>
    </row>
    <row r="18" spans="1:13" ht="24">
      <c r="A18" s="1" t="s">
        <v>361</v>
      </c>
      <c r="B18" s="1" t="s">
        <v>338</v>
      </c>
      <c r="C18" s="1" t="s">
        <v>416</v>
      </c>
      <c r="D18" s="1" t="s">
        <v>417</v>
      </c>
      <c r="E18" s="1" t="s">
        <v>418</v>
      </c>
      <c r="F18" s="1" t="s">
        <v>351</v>
      </c>
      <c r="G18" s="1" t="s">
        <v>249</v>
      </c>
      <c r="H18" s="1" t="s">
        <v>419</v>
      </c>
      <c r="I18" s="185" t="s">
        <v>343</v>
      </c>
      <c r="J18" s="186" t="s">
        <v>781</v>
      </c>
      <c r="K18" s="1" t="s">
        <v>420</v>
      </c>
      <c r="L18" s="134" t="s">
        <v>866</v>
      </c>
    </row>
    <row r="19" spans="1:13" ht="36">
      <c r="A19" s="1" t="s">
        <v>395</v>
      </c>
      <c r="B19" s="1" t="s">
        <v>338</v>
      </c>
      <c r="C19" s="1" t="s">
        <v>421</v>
      </c>
      <c r="D19" s="1" t="s">
        <v>422</v>
      </c>
      <c r="E19" s="1" t="s">
        <v>423</v>
      </c>
      <c r="F19" s="1" t="s">
        <v>380</v>
      </c>
      <c r="G19" s="1" t="s">
        <v>249</v>
      </c>
      <c r="H19" s="1" t="s">
        <v>66</v>
      </c>
      <c r="I19" s="185" t="s">
        <v>343</v>
      </c>
      <c r="J19" s="185" t="s">
        <v>782</v>
      </c>
      <c r="K19" s="1" t="s">
        <v>424</v>
      </c>
      <c r="L19" s="1" t="s">
        <v>869</v>
      </c>
    </row>
    <row r="21" spans="1:13" s="199" customFormat="1" ht="12.75" thickBot="1"/>
    <row r="22" spans="1:13" ht="36.75" thickBot="1">
      <c r="A22" s="193" t="s">
        <v>347</v>
      </c>
      <c r="B22" s="194" t="s">
        <v>666</v>
      </c>
      <c r="C22" s="1" t="s">
        <v>667</v>
      </c>
      <c r="D22" s="194" t="s">
        <v>668</v>
      </c>
      <c r="E22" s="194" t="s">
        <v>669</v>
      </c>
      <c r="F22" s="194" t="s">
        <v>670</v>
      </c>
      <c r="G22" s="194" t="s">
        <v>249</v>
      </c>
      <c r="H22" s="194" t="s">
        <v>671</v>
      </c>
      <c r="I22" s="215" t="s">
        <v>51</v>
      </c>
      <c r="J22" s="194" t="s">
        <v>672</v>
      </c>
      <c r="K22" s="194" t="s">
        <v>673</v>
      </c>
      <c r="L22" s="134" t="s">
        <v>862</v>
      </c>
      <c r="M22" s="134" t="s">
        <v>866</v>
      </c>
    </row>
    <row r="23" spans="1:13" ht="24.75" thickBot="1">
      <c r="A23" s="195" t="s">
        <v>347</v>
      </c>
      <c r="B23" s="196" t="s">
        <v>338</v>
      </c>
      <c r="C23" s="1" t="s">
        <v>674</v>
      </c>
      <c r="D23" s="196" t="s">
        <v>675</v>
      </c>
      <c r="E23" s="196" t="s">
        <v>676</v>
      </c>
      <c r="F23" s="196" t="s">
        <v>677</v>
      </c>
      <c r="G23" s="196" t="s">
        <v>266</v>
      </c>
      <c r="H23" s="196" t="s">
        <v>366</v>
      </c>
      <c r="I23" s="196" t="s">
        <v>672</v>
      </c>
      <c r="J23" s="196" t="s">
        <v>672</v>
      </c>
      <c r="K23" s="196" t="s">
        <v>678</v>
      </c>
      <c r="L23" s="134" t="s">
        <v>860</v>
      </c>
    </row>
    <row r="24" spans="1:13" ht="36.75" thickBot="1">
      <c r="A24" s="195" t="s">
        <v>347</v>
      </c>
      <c r="B24" s="196" t="s">
        <v>338</v>
      </c>
      <c r="C24" s="1" t="s">
        <v>679</v>
      </c>
      <c r="D24" s="196" t="s">
        <v>675</v>
      </c>
      <c r="E24" s="196" t="s">
        <v>680</v>
      </c>
      <c r="F24" s="196" t="s">
        <v>677</v>
      </c>
      <c r="G24" s="196" t="s">
        <v>266</v>
      </c>
      <c r="H24" s="196" t="s">
        <v>366</v>
      </c>
      <c r="I24" s="196" t="s">
        <v>672</v>
      </c>
      <c r="J24" s="196" t="s">
        <v>672</v>
      </c>
      <c r="K24" s="196" t="s">
        <v>681</v>
      </c>
      <c r="L24" s="134" t="s">
        <v>866</v>
      </c>
    </row>
    <row r="25" spans="1:13" ht="24.75" thickBot="1">
      <c r="A25" s="195" t="s">
        <v>347</v>
      </c>
      <c r="B25" s="196" t="s">
        <v>338</v>
      </c>
      <c r="C25" s="1" t="s">
        <v>682</v>
      </c>
      <c r="D25" s="196" t="s">
        <v>675</v>
      </c>
      <c r="E25" s="196" t="s">
        <v>683</v>
      </c>
      <c r="F25" s="196" t="s">
        <v>684</v>
      </c>
      <c r="G25" s="196" t="s">
        <v>381</v>
      </c>
      <c r="H25" s="196" t="s">
        <v>366</v>
      </c>
      <c r="I25" s="196" t="s">
        <v>672</v>
      </c>
      <c r="J25" s="196" t="s">
        <v>672</v>
      </c>
      <c r="K25" s="196" t="s">
        <v>685</v>
      </c>
      <c r="L25" s="134" t="s">
        <v>866</v>
      </c>
    </row>
    <row r="26" spans="1:13" ht="24.75" thickBot="1">
      <c r="A26" s="195" t="s">
        <v>347</v>
      </c>
      <c r="B26" s="196" t="s">
        <v>338</v>
      </c>
      <c r="C26" s="1" t="s">
        <v>686</v>
      </c>
      <c r="D26" s="196" t="s">
        <v>675</v>
      </c>
      <c r="E26" s="196" t="s">
        <v>687</v>
      </c>
      <c r="F26" s="196" t="s">
        <v>688</v>
      </c>
      <c r="G26" s="196" t="s">
        <v>689</v>
      </c>
      <c r="H26" s="196" t="s">
        <v>202</v>
      </c>
      <c r="I26" s="196" t="s">
        <v>672</v>
      </c>
      <c r="J26" s="196" t="s">
        <v>672</v>
      </c>
      <c r="K26" s="196" t="s">
        <v>690</v>
      </c>
      <c r="L26" s="134" t="s">
        <v>866</v>
      </c>
    </row>
    <row r="27" spans="1:13" ht="24.75" thickBot="1">
      <c r="A27" s="195" t="s">
        <v>347</v>
      </c>
      <c r="B27" s="196" t="s">
        <v>338</v>
      </c>
      <c r="C27" s="1" t="s">
        <v>691</v>
      </c>
      <c r="D27" s="196" t="s">
        <v>675</v>
      </c>
      <c r="E27" s="196" t="s">
        <v>692</v>
      </c>
      <c r="F27" s="196" t="s">
        <v>693</v>
      </c>
      <c r="G27" s="196" t="s">
        <v>689</v>
      </c>
      <c r="H27" s="196" t="s">
        <v>366</v>
      </c>
      <c r="I27" s="196" t="s">
        <v>672</v>
      </c>
      <c r="J27" s="196" t="s">
        <v>672</v>
      </c>
      <c r="K27" s="196" t="s">
        <v>694</v>
      </c>
      <c r="L27" s="134" t="s">
        <v>872</v>
      </c>
    </row>
    <row r="28" spans="1:13" ht="24.75" thickBot="1">
      <c r="A28" s="195" t="s">
        <v>347</v>
      </c>
      <c r="B28" s="196" t="s">
        <v>338</v>
      </c>
      <c r="C28" s="1" t="s">
        <v>695</v>
      </c>
      <c r="D28" s="196" t="s">
        <v>675</v>
      </c>
      <c r="E28" s="196" t="s">
        <v>696</v>
      </c>
      <c r="F28" s="196" t="s">
        <v>693</v>
      </c>
      <c r="G28" s="196" t="s">
        <v>689</v>
      </c>
      <c r="H28" s="196" t="s">
        <v>366</v>
      </c>
      <c r="I28" s="196" t="s">
        <v>672</v>
      </c>
      <c r="J28" s="196" t="s">
        <v>672</v>
      </c>
      <c r="K28" s="196" t="s">
        <v>694</v>
      </c>
      <c r="L28" s="134" t="s">
        <v>872</v>
      </c>
    </row>
    <row r="29" spans="1:13" ht="24.75" thickBot="1">
      <c r="A29" s="195" t="s">
        <v>347</v>
      </c>
      <c r="B29" s="196" t="s">
        <v>338</v>
      </c>
      <c r="C29" s="1" t="s">
        <v>697</v>
      </c>
      <c r="D29" s="196" t="s">
        <v>675</v>
      </c>
      <c r="E29" s="196" t="s">
        <v>698</v>
      </c>
      <c r="F29" s="196" t="s">
        <v>419</v>
      </c>
      <c r="G29" s="196" t="s">
        <v>266</v>
      </c>
      <c r="H29" s="196" t="s">
        <v>374</v>
      </c>
      <c r="I29" s="196" t="s">
        <v>672</v>
      </c>
      <c r="J29" s="196" t="s">
        <v>672</v>
      </c>
      <c r="K29" s="196" t="s">
        <v>699</v>
      </c>
      <c r="L29" s="1" t="s">
        <v>873</v>
      </c>
    </row>
    <row r="30" spans="1:13" ht="24.75" thickBot="1">
      <c r="A30" s="195" t="s">
        <v>347</v>
      </c>
      <c r="B30" s="196" t="s">
        <v>338</v>
      </c>
      <c r="C30" s="1" t="s">
        <v>700</v>
      </c>
      <c r="D30" s="196" t="s">
        <v>675</v>
      </c>
      <c r="E30" s="196" t="s">
        <v>698</v>
      </c>
      <c r="F30" s="196" t="s">
        <v>419</v>
      </c>
      <c r="G30" s="196" t="s">
        <v>266</v>
      </c>
      <c r="H30" s="196" t="s">
        <v>374</v>
      </c>
      <c r="I30" s="196" t="s">
        <v>672</v>
      </c>
      <c r="J30" s="196" t="s">
        <v>672</v>
      </c>
      <c r="K30" s="196" t="s">
        <v>699</v>
      </c>
      <c r="L30" s="1" t="s">
        <v>873</v>
      </c>
    </row>
    <row r="31" spans="1:13" ht="36.75" thickBot="1">
      <c r="A31" s="195" t="s">
        <v>347</v>
      </c>
      <c r="B31" s="196" t="s">
        <v>338</v>
      </c>
      <c r="C31" s="1" t="s">
        <v>701</v>
      </c>
      <c r="D31" s="196" t="s">
        <v>675</v>
      </c>
      <c r="E31" s="196" t="s">
        <v>702</v>
      </c>
      <c r="F31" s="196" t="s">
        <v>703</v>
      </c>
      <c r="G31" s="196" t="s">
        <v>266</v>
      </c>
      <c r="H31" s="196" t="s">
        <v>704</v>
      </c>
      <c r="I31" s="196" t="s">
        <v>672</v>
      </c>
      <c r="J31" s="196" t="s">
        <v>672</v>
      </c>
      <c r="K31" s="196" t="s">
        <v>705</v>
      </c>
      <c r="L31" s="134" t="s">
        <v>871</v>
      </c>
    </row>
    <row r="32" spans="1:13" ht="24.75" thickBot="1">
      <c r="A32" s="195" t="s">
        <v>347</v>
      </c>
      <c r="B32" s="196" t="s">
        <v>338</v>
      </c>
      <c r="C32" s="1" t="s">
        <v>706</v>
      </c>
      <c r="D32" s="196" t="s">
        <v>675</v>
      </c>
      <c r="E32" s="196" t="s">
        <v>707</v>
      </c>
      <c r="F32" s="196" t="s">
        <v>708</v>
      </c>
      <c r="G32" s="196" t="s">
        <v>689</v>
      </c>
      <c r="H32" s="196" t="s">
        <v>366</v>
      </c>
      <c r="I32" s="196" t="s">
        <v>672</v>
      </c>
      <c r="J32" s="196" t="s">
        <v>672</v>
      </c>
      <c r="K32" s="196" t="s">
        <v>678</v>
      </c>
      <c r="L32" s="1" t="s">
        <v>873</v>
      </c>
    </row>
    <row r="33" spans="1:13" ht="24.75" thickBot="1">
      <c r="A33" s="195" t="s">
        <v>347</v>
      </c>
      <c r="B33" s="196" t="s">
        <v>654</v>
      </c>
      <c r="C33" s="1" t="s">
        <v>709</v>
      </c>
      <c r="D33" s="196" t="s">
        <v>710</v>
      </c>
      <c r="E33" s="196" t="s">
        <v>711</v>
      </c>
      <c r="F33" s="196" t="s">
        <v>343</v>
      </c>
      <c r="G33" s="196" t="s">
        <v>249</v>
      </c>
      <c r="H33" s="196" t="s">
        <v>343</v>
      </c>
      <c r="I33" s="196" t="s">
        <v>672</v>
      </c>
      <c r="J33" s="196" t="s">
        <v>672</v>
      </c>
      <c r="K33" s="196" t="s">
        <v>712</v>
      </c>
      <c r="L33" s="134" t="s">
        <v>866</v>
      </c>
    </row>
    <row r="34" spans="1:13" ht="36.75" thickBot="1">
      <c r="A34" s="195" t="s">
        <v>347</v>
      </c>
      <c r="B34" s="196" t="s">
        <v>654</v>
      </c>
      <c r="C34" s="1" t="s">
        <v>713</v>
      </c>
      <c r="D34" s="196" t="s">
        <v>710</v>
      </c>
      <c r="E34" s="196" t="s">
        <v>714</v>
      </c>
      <c r="F34" s="196" t="s">
        <v>715</v>
      </c>
      <c r="G34" s="196" t="s">
        <v>249</v>
      </c>
      <c r="H34" s="196" t="s">
        <v>343</v>
      </c>
      <c r="I34" s="196" t="s">
        <v>672</v>
      </c>
      <c r="J34" s="196" t="s">
        <v>672</v>
      </c>
      <c r="K34" s="196" t="s">
        <v>716</v>
      </c>
      <c r="L34" s="134" t="s">
        <v>866</v>
      </c>
    </row>
    <row r="35" spans="1:13" ht="36.75" thickBot="1">
      <c r="A35" s="195" t="s">
        <v>347</v>
      </c>
      <c r="B35" s="196" t="s">
        <v>654</v>
      </c>
      <c r="C35" s="1" t="s">
        <v>717</v>
      </c>
      <c r="D35" s="196" t="s">
        <v>710</v>
      </c>
      <c r="E35" s="196" t="s">
        <v>718</v>
      </c>
      <c r="F35" s="196" t="s">
        <v>338</v>
      </c>
      <c r="G35" s="196" t="s">
        <v>249</v>
      </c>
      <c r="H35" s="196" t="s">
        <v>719</v>
      </c>
      <c r="I35" s="196" t="s">
        <v>672</v>
      </c>
      <c r="J35" s="196" t="s">
        <v>672</v>
      </c>
      <c r="K35" s="196" t="s">
        <v>720</v>
      </c>
      <c r="L35" s="1" t="s">
        <v>865</v>
      </c>
    </row>
    <row r="36" spans="1:13" ht="36.75" thickBot="1">
      <c r="A36" s="195" t="s">
        <v>347</v>
      </c>
      <c r="B36" s="196" t="s">
        <v>654</v>
      </c>
      <c r="C36" s="1" t="s">
        <v>721</v>
      </c>
      <c r="D36" s="196" t="s">
        <v>710</v>
      </c>
      <c r="E36" s="196" t="s">
        <v>722</v>
      </c>
      <c r="F36" s="196" t="s">
        <v>723</v>
      </c>
      <c r="G36" s="196" t="s">
        <v>266</v>
      </c>
      <c r="H36" s="196" t="s">
        <v>724</v>
      </c>
      <c r="I36" s="196" t="s">
        <v>672</v>
      </c>
      <c r="J36" s="196" t="s">
        <v>672</v>
      </c>
      <c r="K36" s="196" t="s">
        <v>725</v>
      </c>
      <c r="L36" s="1" t="s">
        <v>865</v>
      </c>
    </row>
    <row r="37" spans="1:13" ht="36.75" thickBot="1">
      <c r="A37" s="195" t="s">
        <v>347</v>
      </c>
      <c r="B37" s="196" t="s">
        <v>654</v>
      </c>
      <c r="C37" s="1" t="s">
        <v>726</v>
      </c>
      <c r="D37" s="196" t="s">
        <v>710</v>
      </c>
      <c r="E37" s="196" t="s">
        <v>727</v>
      </c>
      <c r="F37" s="196" t="s">
        <v>728</v>
      </c>
      <c r="G37" s="196" t="s">
        <v>689</v>
      </c>
      <c r="H37" s="196" t="s">
        <v>724</v>
      </c>
      <c r="I37" s="196" t="s">
        <v>672</v>
      </c>
      <c r="J37" s="196" t="s">
        <v>672</v>
      </c>
      <c r="K37" s="196" t="s">
        <v>729</v>
      </c>
      <c r="L37" s="1" t="s">
        <v>865</v>
      </c>
    </row>
    <row r="38" spans="1:13" ht="24.75" thickBot="1">
      <c r="A38" s="195" t="s">
        <v>347</v>
      </c>
      <c r="B38" s="196" t="s">
        <v>338</v>
      </c>
      <c r="C38" s="1" t="s">
        <v>730</v>
      </c>
      <c r="D38" s="196" t="s">
        <v>710</v>
      </c>
      <c r="E38" s="196" t="s">
        <v>731</v>
      </c>
      <c r="F38" s="196" t="s">
        <v>732</v>
      </c>
      <c r="G38" s="196" t="s">
        <v>381</v>
      </c>
      <c r="H38" s="196" t="s">
        <v>343</v>
      </c>
      <c r="I38" s="196" t="s">
        <v>672</v>
      </c>
      <c r="J38" s="196" t="s">
        <v>672</v>
      </c>
      <c r="K38" s="196" t="s">
        <v>733</v>
      </c>
      <c r="L38" s="134" t="s">
        <v>874</v>
      </c>
    </row>
    <row r="39" spans="1:13" ht="24.75" thickBot="1">
      <c r="A39" s="195" t="s">
        <v>347</v>
      </c>
      <c r="B39" s="196" t="s">
        <v>338</v>
      </c>
      <c r="C39" s="1" t="s">
        <v>734</v>
      </c>
      <c r="D39" s="196" t="s">
        <v>710</v>
      </c>
      <c r="E39" s="196" t="s">
        <v>735</v>
      </c>
      <c r="F39" s="196" t="s">
        <v>732</v>
      </c>
      <c r="G39" s="196" t="s">
        <v>266</v>
      </c>
      <c r="H39" s="196" t="s">
        <v>343</v>
      </c>
      <c r="I39" s="196" t="s">
        <v>672</v>
      </c>
      <c r="J39" s="196" t="s">
        <v>672</v>
      </c>
      <c r="K39" s="196" t="s">
        <v>736</v>
      </c>
      <c r="L39" s="1" t="s">
        <v>867</v>
      </c>
      <c r="M39" s="134" t="s">
        <v>866</v>
      </c>
    </row>
    <row r="40" spans="1:13" ht="36.75" thickBot="1">
      <c r="A40" s="195" t="s">
        <v>347</v>
      </c>
      <c r="B40" s="196" t="s">
        <v>338</v>
      </c>
      <c r="C40" s="1" t="s">
        <v>737</v>
      </c>
      <c r="D40" s="196" t="s">
        <v>710</v>
      </c>
      <c r="E40" s="196" t="s">
        <v>738</v>
      </c>
      <c r="F40" s="196" t="s">
        <v>732</v>
      </c>
      <c r="G40" s="196" t="s">
        <v>689</v>
      </c>
      <c r="H40" s="196" t="s">
        <v>343</v>
      </c>
      <c r="I40" s="196" t="s">
        <v>672</v>
      </c>
      <c r="J40" s="196" t="s">
        <v>672</v>
      </c>
      <c r="K40" s="196" t="s">
        <v>404</v>
      </c>
      <c r="L40" s="134" t="s">
        <v>872</v>
      </c>
      <c r="M40" s="1" t="s">
        <v>875</v>
      </c>
    </row>
    <row r="41" spans="1:13" ht="36.75" thickBot="1">
      <c r="A41" s="195" t="s">
        <v>347</v>
      </c>
      <c r="B41" s="196" t="s">
        <v>739</v>
      </c>
      <c r="C41" s="1" t="s">
        <v>740</v>
      </c>
      <c r="D41" s="196" t="s">
        <v>741</v>
      </c>
      <c r="E41" s="196" t="s">
        <v>742</v>
      </c>
      <c r="F41" s="196" t="s">
        <v>743</v>
      </c>
      <c r="G41" s="196" t="s">
        <v>266</v>
      </c>
      <c r="H41" s="196" t="s">
        <v>744</v>
      </c>
      <c r="I41" s="216" t="s">
        <v>672</v>
      </c>
      <c r="J41" s="196" t="s">
        <v>672</v>
      </c>
      <c r="K41" s="196" t="s">
        <v>404</v>
      </c>
      <c r="L41" s="1" t="s">
        <v>867</v>
      </c>
    </row>
    <row r="42" spans="1:13" ht="36.75" thickBot="1">
      <c r="A42" s="195" t="s">
        <v>347</v>
      </c>
      <c r="B42" s="196" t="s">
        <v>739</v>
      </c>
      <c r="C42" s="1" t="s">
        <v>745</v>
      </c>
      <c r="D42" s="196" t="s">
        <v>741</v>
      </c>
      <c r="E42" s="196" t="s">
        <v>746</v>
      </c>
      <c r="F42" s="196" t="s">
        <v>747</v>
      </c>
      <c r="G42" s="196" t="s">
        <v>266</v>
      </c>
      <c r="H42" s="196" t="s">
        <v>744</v>
      </c>
      <c r="I42" s="216" t="s">
        <v>672</v>
      </c>
      <c r="J42" s="196" t="s">
        <v>672</v>
      </c>
      <c r="K42" s="196" t="s">
        <v>748</v>
      </c>
      <c r="L42" s="1" t="s">
        <v>867</v>
      </c>
    </row>
    <row r="43" spans="1:13" ht="36.75" thickBot="1">
      <c r="A43" s="195" t="s">
        <v>347</v>
      </c>
      <c r="B43" s="196" t="s">
        <v>739</v>
      </c>
      <c r="C43" s="1" t="s">
        <v>749</v>
      </c>
      <c r="D43" s="196" t="s">
        <v>741</v>
      </c>
      <c r="E43" s="196" t="s">
        <v>750</v>
      </c>
      <c r="F43" s="196" t="s">
        <v>419</v>
      </c>
      <c r="G43" s="196" t="s">
        <v>266</v>
      </c>
      <c r="H43" s="196" t="s">
        <v>374</v>
      </c>
      <c r="I43" s="196" t="s">
        <v>672</v>
      </c>
      <c r="J43" s="196" t="s">
        <v>672</v>
      </c>
      <c r="K43" s="196" t="s">
        <v>751</v>
      </c>
      <c r="L43" s="134" t="s">
        <v>876</v>
      </c>
      <c r="M43" s="134" t="s">
        <v>866</v>
      </c>
    </row>
    <row r="44" spans="1:13" ht="24.75" thickBot="1">
      <c r="A44" s="195" t="s">
        <v>347</v>
      </c>
      <c r="B44" s="196" t="s">
        <v>739</v>
      </c>
      <c r="C44" s="1" t="s">
        <v>752</v>
      </c>
      <c r="D44" s="196" t="s">
        <v>741</v>
      </c>
      <c r="E44" s="196" t="s">
        <v>753</v>
      </c>
      <c r="F44" s="196" t="s">
        <v>754</v>
      </c>
      <c r="G44" s="196" t="s">
        <v>266</v>
      </c>
      <c r="H44" s="196" t="s">
        <v>744</v>
      </c>
      <c r="I44" s="196" t="s">
        <v>672</v>
      </c>
      <c r="J44" s="196" t="s">
        <v>672</v>
      </c>
      <c r="K44" s="196" t="s">
        <v>755</v>
      </c>
      <c r="L44" s="1" t="s">
        <v>867</v>
      </c>
    </row>
    <row r="45" spans="1:13" ht="36.75" thickBot="1">
      <c r="A45" s="195" t="s">
        <v>347</v>
      </c>
      <c r="B45" s="196" t="s">
        <v>756</v>
      </c>
      <c r="C45" s="1" t="s">
        <v>757</v>
      </c>
      <c r="D45" s="196" t="s">
        <v>758</v>
      </c>
      <c r="E45" s="196" t="s">
        <v>759</v>
      </c>
      <c r="F45" s="196" t="s">
        <v>760</v>
      </c>
      <c r="G45" s="196" t="s">
        <v>689</v>
      </c>
      <c r="H45" s="196" t="s">
        <v>761</v>
      </c>
      <c r="I45" s="196" t="s">
        <v>672</v>
      </c>
      <c r="J45" s="196" t="s">
        <v>672</v>
      </c>
      <c r="K45" s="196" t="s">
        <v>762</v>
      </c>
      <c r="L45" s="1" t="s">
        <v>865</v>
      </c>
    </row>
    <row r="46" spans="1:13" ht="24.75" thickBot="1">
      <c r="A46" s="195" t="s">
        <v>347</v>
      </c>
      <c r="B46" s="196" t="s">
        <v>756</v>
      </c>
      <c r="C46" s="1" t="s">
        <v>763</v>
      </c>
      <c r="D46" s="196" t="s">
        <v>758</v>
      </c>
      <c r="E46" s="196" t="s">
        <v>764</v>
      </c>
      <c r="F46" s="196" t="s">
        <v>747</v>
      </c>
      <c r="G46" s="196" t="s">
        <v>266</v>
      </c>
      <c r="H46" s="196" t="s">
        <v>744</v>
      </c>
      <c r="I46" s="196" t="s">
        <v>672</v>
      </c>
      <c r="J46" s="196" t="s">
        <v>672</v>
      </c>
      <c r="K46" s="196" t="s">
        <v>404</v>
      </c>
      <c r="L46" s="134" t="s">
        <v>877</v>
      </c>
    </row>
    <row r="47" spans="1:13" ht="36.75" thickBot="1">
      <c r="A47" s="195" t="s">
        <v>347</v>
      </c>
      <c r="B47" s="196" t="s">
        <v>756</v>
      </c>
      <c r="C47" s="1" t="s">
        <v>765</v>
      </c>
      <c r="D47" s="196" t="s">
        <v>758</v>
      </c>
      <c r="E47" s="196" t="s">
        <v>766</v>
      </c>
      <c r="F47" s="196" t="s">
        <v>419</v>
      </c>
      <c r="G47" s="196" t="s">
        <v>266</v>
      </c>
      <c r="H47" s="196" t="s">
        <v>374</v>
      </c>
      <c r="I47" s="196" t="s">
        <v>672</v>
      </c>
      <c r="J47" s="196" t="s">
        <v>672</v>
      </c>
      <c r="K47" s="196" t="s">
        <v>725</v>
      </c>
      <c r="L47" s="1" t="s">
        <v>865</v>
      </c>
    </row>
    <row r="48" spans="1:13" ht="24.75" thickBot="1">
      <c r="A48" s="195" t="s">
        <v>347</v>
      </c>
      <c r="B48" s="196" t="s">
        <v>756</v>
      </c>
      <c r="C48" s="1" t="s">
        <v>767</v>
      </c>
      <c r="D48" s="196" t="s">
        <v>758</v>
      </c>
      <c r="E48" s="196" t="s">
        <v>768</v>
      </c>
      <c r="F48" s="196" t="s">
        <v>419</v>
      </c>
      <c r="G48" s="196" t="s">
        <v>266</v>
      </c>
      <c r="H48" s="196" t="s">
        <v>374</v>
      </c>
      <c r="I48" s="196" t="s">
        <v>672</v>
      </c>
      <c r="J48" s="196" t="s">
        <v>672</v>
      </c>
      <c r="K48" s="196" t="s">
        <v>769</v>
      </c>
      <c r="L48" s="1" t="s">
        <v>865</v>
      </c>
    </row>
    <row r="49" spans="1:11" ht="36.75" thickBot="1">
      <c r="A49" s="195" t="s">
        <v>347</v>
      </c>
      <c r="B49" s="196" t="s">
        <v>756</v>
      </c>
      <c r="C49" s="1" t="s">
        <v>770</v>
      </c>
      <c r="D49" s="196" t="s">
        <v>758</v>
      </c>
      <c r="E49" s="196" t="s">
        <v>771</v>
      </c>
      <c r="F49" s="196" t="s">
        <v>772</v>
      </c>
      <c r="G49" s="196" t="s">
        <v>266</v>
      </c>
      <c r="H49" s="196" t="s">
        <v>744</v>
      </c>
      <c r="I49" s="196" t="s">
        <v>672</v>
      </c>
      <c r="J49" s="196" t="s">
        <v>672</v>
      </c>
      <c r="K49" s="196" t="s">
        <v>755</v>
      </c>
    </row>
  </sheetData>
  <mergeCells count="3">
    <mergeCell ref="A2:K2"/>
    <mergeCell ref="A4:G4"/>
    <mergeCell ref="I4:K4"/>
  </mergeCells>
  <conditionalFormatting sqref="A4 A5:I5">
    <cfRule type="cellIs" dxfId="107" priority="4" operator="equal">
      <formula>"Overdue"</formula>
    </cfRule>
    <cfRule type="cellIs" dxfId="106" priority="5" operator="equal">
      <formula>"In Progress"</formula>
    </cfRule>
    <cfRule type="cellIs" dxfId="105" priority="6" operator="equal">
      <formula>"Completed"</formula>
    </cfRule>
  </conditionalFormatting>
  <conditionalFormatting sqref="L5:M5">
    <cfRule type="cellIs" dxfId="104" priority="1" operator="equal">
      <formula>"Overdue"</formula>
    </cfRule>
    <cfRule type="cellIs" dxfId="103" priority="2" operator="equal">
      <formula>"In Progress"</formula>
    </cfRule>
    <cfRule type="cellIs" dxfId="102" priority="3" operator="equal">
      <formula>"Completed"</formula>
    </cfRule>
  </conditionalFormatting>
  <hyperlinks>
    <hyperlink ref="L12" r:id="rId1" display="../../../../../../../../:f:/s/DTI-20151005_QTMP/IgAnc2ql6ZkHTJNYpfI3XAcQAelbfeHoMNfdJsEWisydo4U?e=1nwnv8" xr:uid="{29747F70-02DC-4EA4-91AE-F336F3EE07D3}"/>
    <hyperlink ref="L9" r:id="rId2" display="../../../../../../../../:f:/s/DTI-20151005_QTMP/IgAdVLxqfUG2RbVad7xcDnP2AcHM8JMenGa4-9B_H3GHgK4?e=9IXdRf" xr:uid="{53F27070-6B8C-4688-9FD3-1D6F6A2A47FD}"/>
    <hyperlink ref="L6" r:id="rId3" display="../../../../../../../../:f:/s/DTI-20151005_QTMP/IgDZYy1TbaauT6J76Odx-8BSAeileb2BW8MbIbprb-s2Rr4?e=qf3gBR" xr:uid="{3B33F597-1C1E-4946-8E6E-758DD167DD28}"/>
    <hyperlink ref="L7" r:id="rId4" display="../../../../../../../../:f:/s/DTI-20151005_QTMP/IgDZYy1TbaauT6J76Odx-8BSAeileb2BW8MbIbprb-s2Rr4?e=qf3gBR" xr:uid="{AFCD1326-BB4D-4EFC-8063-E2B211EDCA3B}"/>
    <hyperlink ref="M14" r:id="rId5" display="https://dtinfrastructurecomau.sharepoint.com/:b:/s/DTI-20151005_QTMP/IQBnrZuCxvs_RpRFnz1NmueJAZlw0Y3v1mbnbgRLGrJT4KY?e=vEQvhf" xr:uid="{BA41ECC1-3A9E-4FD5-930B-977E1948FFE1}"/>
    <hyperlink ref="M16" r:id="rId6" display="https://dtinfrastructurecomau.sharepoint.com/:b:/s/DTI-20151005_QTMP/IQBnrZuCxvs_RpRFnz1NmueJAZlw0Y3v1mbnbgRLGrJT4KY?e=vEQvhf" xr:uid="{024472BB-D253-4CDA-881B-00C20665BE9A}"/>
    <hyperlink ref="L10" r:id="rId7" display="../../../../../../../../:f:/s/DTI-20151005_QTMP/IgBGZj5MLchaS6NVszzoGHqnAewLHBIlkPWA3E314zHnqYY?e=rWf9HS" xr:uid="{0A6BF5BC-1A5D-449B-94A2-E51627B43DFF}"/>
    <hyperlink ref="M6" r:id="rId8" display="../../../../../../../../:f:/s/DTI-20151005_QTMP/IgBTb9L0aVaPRZTWpBMRRfBiAR-K1xvWVeTeTqGqOWpyC50?e=xm8pzW" xr:uid="{BAD89B82-9731-48C7-A53F-5FF4D687164B}"/>
    <hyperlink ref="M9" r:id="rId9" display="../../../../../../../../:f:/s/DTI-20151005_QTMP/IgBTb9L0aVaPRZTWpBMRRfBiAR-K1xvWVeTeTqGqOWpyC50?e=xm8pzW" xr:uid="{BD85C1EE-13DC-4F6E-B976-D31CB310D9AC}"/>
    <hyperlink ref="M12" r:id="rId10" display="../../../../../../../../:f:/s/DTI-20151005_QTMP/IgBTb9L0aVaPRZTWpBMRRfBiAR-K1xvWVeTeTqGqOWpyC50?e=xm8pzW" xr:uid="{C1E93D78-5F1D-4C39-B368-097F3DA2CF52}"/>
    <hyperlink ref="M13" r:id="rId11" display="../../../../../../../../:f:/s/DTI-20151005_QTMP/IgBTb9L0aVaPRZTWpBMRRfBiAR-K1xvWVeTeTqGqOWpyC50?e=xm8pzW" xr:uid="{FD4BC1B5-7E9A-47A8-B591-D0A1E5F6C3C0}"/>
    <hyperlink ref="L14" r:id="rId12" display="../../../../../../../../:f:/s/DTI-20151005_QTMP/IgBTb9L0aVaPRZTWpBMRRfBiAR-K1xvWVeTeTqGqOWpyC50?e=xm8pzW" xr:uid="{01819AC4-161C-435A-BFAA-CF57055BA30F}"/>
    <hyperlink ref="L16" r:id="rId13" display="../../../../../../../../:f:/s/DTI-20151005_QTMP/IgBTb9L0aVaPRZTWpBMRRfBiAR-K1xvWVeTeTqGqOWpyC50?e=xm8pzW" xr:uid="{F788F23C-ED1B-4A93-B0F5-504C3ECAAF28}"/>
    <hyperlink ref="L17" r:id="rId14" display="../../../../../../../../:f:/s/DTI-20151005_QTMP/IgBTb9L0aVaPRZTWpBMRRfBiAR-K1xvWVeTeTqGqOWpyC50?e=xm8pzW" xr:uid="{0CA4DCDB-C5DD-4637-9E9F-6271C0D63B93}"/>
    <hyperlink ref="L18" r:id="rId15" display="../../../../../../../../:f:/s/DTI-20151005_QTMP/IgBTb9L0aVaPRZTWpBMRRfBiAR-K1xvWVeTeTqGqOWpyC50?e=xm8pzW" xr:uid="{81D9D203-BCE5-4BF1-BD6D-8D2FBD50FD46}"/>
    <hyperlink ref="L11" r:id="rId16" display="../../../../../../../../:f:/s/DTI-20151005_QTMP/IgCeNg-uicevRq2xd7hNZdoFAfFNbJd2DArHVhGnw_2H6IE?e=Kdv3br" xr:uid="{0A8877A9-2FBD-438A-8946-ED210EB91A60}"/>
    <hyperlink ref="L23" r:id="rId17" display="../../../../../../../../:f:/s/DTI-20151005_QTMP/IgAdVLxqfUG2RbVad7xcDnP2AcHM8JMenGa4-9B_H3GHgK4?e=9IXdRf" xr:uid="{7BE25458-2D6D-4BD2-9C67-A767C63DDB3F}"/>
    <hyperlink ref="L24" r:id="rId18" display="../../../../../../../../:f:/s/DTI-20151005_QTMP/IgBTb9L0aVaPRZTWpBMRRfBiAR-K1xvWVeTeTqGqOWpyC50?e=xm8pzW" xr:uid="{E1F4CE13-88BD-41D4-A4D7-A149A8B01D63}"/>
    <hyperlink ref="L25" r:id="rId19" display="../../../../../../../../:f:/s/DTI-20151005_QTMP/IgBTb9L0aVaPRZTWpBMRRfBiAR-K1xvWVeTeTqGqOWpyC50?e=xm8pzW" xr:uid="{98F309A8-173F-4713-9155-011456CD4C68}"/>
    <hyperlink ref="L22" r:id="rId20" display="../../../../../../../../:f:/s/DTI-20151005_QTMP/IgDZYy1TbaauT6J76Odx-8BSAeileb2BW8MbIbprb-s2Rr4?e=qf3gBR" xr:uid="{50A62401-27B6-421D-A025-D9797E70F2EF}"/>
    <hyperlink ref="M22" r:id="rId21" display="../../../../../../../../:f:/s/DTI-20151005_QTMP/IgBTb9L0aVaPRZTWpBMRRfBiAR-K1xvWVeTeTqGqOWpyC50?e=xm8pzW" xr:uid="{67DC0AB0-8F74-4578-9532-E2203CDC5FE4}"/>
    <hyperlink ref="L26" r:id="rId22" display="../../../../../../../../:f:/s/DTI-20151005_QTMP/IgBTb9L0aVaPRZTWpBMRRfBiAR-K1xvWVeTeTqGqOWpyC50?e=xm8pzW" xr:uid="{3D01C26F-F647-4D02-9FFC-4DFDCFD9ED8C}"/>
    <hyperlink ref="L31" r:id="rId23" display="../../../../../../../../:f:/s/DTI-20151005_QTMP/IgCY5aVN9JqDS5aWNDUkL3KEAfSKz4NyH8ONsBbxaAjX9mI?e=7bAtP9" xr:uid="{692D36D8-CA96-4FBA-B6FF-49CF6D5E8D29}"/>
    <hyperlink ref="L28" r:id="rId24" display="https://dtinfrastructurecomau.sharepoint.com/:x:/s/DTI-20151005_QTMP/IQD7_lqLHFGVRqJIzvAOnQDIAd8dXpmvEYxu1n0tgpus0H4?e=UHa9B7" xr:uid="{006AADA9-E8A5-4B57-9145-E41325AE00EE}"/>
    <hyperlink ref="L27" r:id="rId25" display="https://dtinfrastructurecomau.sharepoint.com/:x:/s/DTI-20151005_QTMP/IQD7_lqLHFGVRqJIzvAOnQDIAd8dXpmvEYxu1n0tgpus0H4?e=UHa9B7" xr:uid="{26C7CAD2-7A25-48A9-8D33-B7AE114AA28A}"/>
    <hyperlink ref="L33" r:id="rId26" display="../../../../../../../../:f:/s/DTI-20151005_QTMP/IgBTb9L0aVaPRZTWpBMRRfBiAR-K1xvWVeTeTqGqOWpyC50?e=xm8pzW" xr:uid="{EBAB2DF5-62ED-4C8E-A4C2-E0BDFF15927A}"/>
    <hyperlink ref="L34" r:id="rId27" display="../../../../../../../../:f:/s/DTI-20151005_QTMP/IgBTb9L0aVaPRZTWpBMRRfBiAR-K1xvWVeTeTqGqOWpyC50?e=xm8pzW" xr:uid="{4A9E0593-699C-4B64-AB08-9F4889579D1D}"/>
    <hyperlink ref="L38" r:id="rId28" display="../../../../../../../../:f:/s/DTI-20151005_QTMP/IgCFbnwOjNLDTZTlyr5LHA_kAZk4ZXmdGwpxZad__BB7h34?e=JQqyJS" xr:uid="{3613AD9B-E15D-4FEB-B75D-332F2A98C66B}"/>
    <hyperlink ref="M39" r:id="rId29" display="../../../../../../../../:f:/s/DTI-20151005_QTMP/IgBTb9L0aVaPRZTWpBMRRfBiAR-K1xvWVeTeTqGqOWpyC50?e=xm8pzW" xr:uid="{3E2674FC-88B7-40E2-ADBA-9E3D4CA08DB0}"/>
    <hyperlink ref="L40" r:id="rId30" display="https://dtinfrastructurecomau.sharepoint.com/:x:/s/DTI-20151005_QTMP/IQD7_lqLHFGVRqJIzvAOnQDIAd8dXpmvEYxu1n0tgpus0H4?e=UHa9B7" xr:uid="{29519DAD-9CBE-4A4D-B1E5-E633525C3F3B}"/>
    <hyperlink ref="M43" r:id="rId31" display="../../../../../../../../:f:/s/DTI-20151005_QTMP/IgBTb9L0aVaPRZTWpBMRRfBiAR-K1xvWVeTeTqGqOWpyC50?e=xm8pzW" xr:uid="{201E85E1-CE52-4D09-8075-012A7EC662DA}"/>
    <hyperlink ref="L43" r:id="rId32" display="../../../../../../../../:f:/s/DTI-20151005_QTMP/IgDe07nUvwl4RrwFD4xErYN3AWf3DSmODqkFm8jlQzd3Lfg?e=GJpqzv" xr:uid="{157DB8C6-7528-407A-9D42-4C40D539EAD6}"/>
    <hyperlink ref="L46" r:id="rId33" display="../../../../../../../../:f:/s/DTI-20151005_QTMP/IgAeWju85UYKRIXTFzacdTs8AU9_WS-ic1_-JguN7OP3zHg?e=baBdWt" xr:uid="{8CCEF911-4F7E-4D13-BFA6-19B03A7C0530}"/>
    <hyperlink ref="M11" r:id="rId34" display="../../../../../../../../:f:/s/DTI-20151005_QTMP/IgBTb9L0aVaPRZTWpBMRRfBiAR-K1xvWVeTeTqGqOWpyC50?e=xm8pzW" xr:uid="{E9489AD4-F163-4D8E-9857-9A59FA6DE2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E459-47C2-46CF-87BD-B7D5CBB4C518}">
  <sheetPr>
    <tabColor theme="7" tint="0.39997558519241921"/>
  </sheetPr>
  <dimension ref="A1:O17"/>
  <sheetViews>
    <sheetView topLeftCell="D6" zoomScale="85" zoomScaleNormal="85" workbookViewId="0">
      <selection activeCell="D9" sqref="D9"/>
    </sheetView>
  </sheetViews>
  <sheetFormatPr defaultRowHeight="12"/>
  <cols>
    <col min="1" max="1" width="23.7109375" customWidth="1"/>
    <col min="2" max="3" width="20" customWidth="1"/>
    <col min="4" max="4" width="40.85546875" customWidth="1"/>
    <col min="5" max="5" width="23.85546875" customWidth="1"/>
    <col min="6" max="6" width="41" customWidth="1"/>
    <col min="7" max="7" width="20.42578125" customWidth="1"/>
    <col min="8" max="8" width="19.140625" customWidth="1"/>
    <col min="9" max="9" width="19" customWidth="1"/>
    <col min="10" max="10" width="27.85546875" customWidth="1"/>
    <col min="11" max="11" width="27" customWidth="1"/>
    <col min="12" max="12" width="29.42578125" customWidth="1"/>
    <col min="13" max="14" width="28.85546875" customWidth="1"/>
  </cols>
  <sheetData>
    <row r="1" spans="1:15" s="1" customFormat="1"/>
    <row r="2" spans="1:15" s="1" customFormat="1" ht="24.75">
      <c r="A2" s="213" t="s">
        <v>9</v>
      </c>
      <c r="B2" s="213"/>
      <c r="C2" s="213"/>
      <c r="D2" s="213"/>
      <c r="E2" s="213"/>
      <c r="F2" s="213"/>
      <c r="G2" s="213"/>
      <c r="H2" s="213"/>
      <c r="I2" s="213"/>
      <c r="J2" s="213"/>
      <c r="K2" s="213"/>
      <c r="L2" s="213"/>
    </row>
    <row r="3" spans="1:15" s="1" customFormat="1">
      <c r="B3" s="134"/>
    </row>
    <row r="4" spans="1:15" s="1" customFormat="1" ht="15">
      <c r="A4" s="203" t="s">
        <v>22</v>
      </c>
      <c r="B4" s="203"/>
      <c r="C4" s="203"/>
      <c r="D4" s="203"/>
      <c r="E4" s="203"/>
      <c r="F4" s="203"/>
      <c r="G4" s="203"/>
      <c r="H4" s="203"/>
      <c r="I4" s="136"/>
      <c r="J4" s="203" t="s">
        <v>24</v>
      </c>
      <c r="K4" s="203"/>
      <c r="L4" s="203"/>
    </row>
    <row r="5" spans="1:15" s="1" customFormat="1">
      <c r="A5" s="86" t="s">
        <v>25</v>
      </c>
      <c r="B5" s="99" t="s">
        <v>26</v>
      </c>
      <c r="C5" s="99" t="s">
        <v>785</v>
      </c>
      <c r="D5" s="86" t="s">
        <v>787</v>
      </c>
      <c r="E5" s="86" t="s">
        <v>59</v>
      </c>
      <c r="F5" s="86" t="s">
        <v>60</v>
      </c>
      <c r="G5" s="86" t="s">
        <v>315</v>
      </c>
      <c r="H5" s="86" t="s">
        <v>30</v>
      </c>
      <c r="I5" s="86" t="s">
        <v>33</v>
      </c>
      <c r="J5" s="86" t="s">
        <v>24</v>
      </c>
      <c r="K5" s="99" t="s">
        <v>34</v>
      </c>
      <c r="L5" s="86" t="s">
        <v>257</v>
      </c>
      <c r="M5" s="86" t="s">
        <v>859</v>
      </c>
      <c r="N5" s="86" t="s">
        <v>859</v>
      </c>
    </row>
    <row r="6" spans="1:15" ht="45">
      <c r="A6" s="189" t="s">
        <v>658</v>
      </c>
      <c r="B6" s="189" t="s">
        <v>405</v>
      </c>
      <c r="C6" s="190">
        <v>1</v>
      </c>
      <c r="D6" s="189" t="s">
        <v>660</v>
      </c>
      <c r="E6" s="189" t="s">
        <v>628</v>
      </c>
      <c r="F6" s="189" t="s">
        <v>629</v>
      </c>
      <c r="G6" s="189" t="s">
        <v>380</v>
      </c>
      <c r="H6" s="189" t="s">
        <v>630</v>
      </c>
      <c r="I6" s="187" t="s">
        <v>343</v>
      </c>
      <c r="J6" s="184" t="s">
        <v>663</v>
      </c>
      <c r="K6" s="184" t="s">
        <v>345</v>
      </c>
      <c r="L6" s="183" t="s">
        <v>346</v>
      </c>
      <c r="M6" s="134" t="s">
        <v>878</v>
      </c>
    </row>
    <row r="7" spans="1:15" ht="95.25" customHeight="1">
      <c r="A7" s="189"/>
      <c r="B7" s="189"/>
      <c r="C7" s="190" t="s">
        <v>786</v>
      </c>
      <c r="D7" s="214" t="s">
        <v>659</v>
      </c>
      <c r="E7" s="214"/>
      <c r="F7" s="214"/>
      <c r="G7" s="214"/>
      <c r="H7" s="214"/>
      <c r="I7" s="214"/>
      <c r="J7" t="s">
        <v>854</v>
      </c>
      <c r="L7" s="1"/>
      <c r="O7" s="134"/>
    </row>
    <row r="8" spans="1:15" ht="45">
      <c r="A8" s="189" t="s">
        <v>627</v>
      </c>
      <c r="B8" s="189" t="s">
        <v>389</v>
      </c>
      <c r="C8" s="190">
        <v>2</v>
      </c>
      <c r="D8" s="189" t="s">
        <v>631</v>
      </c>
      <c r="E8" s="189" t="s">
        <v>628</v>
      </c>
      <c r="F8" s="189" t="s">
        <v>632</v>
      </c>
      <c r="G8" s="189" t="s">
        <v>633</v>
      </c>
      <c r="H8" s="189" t="s">
        <v>630</v>
      </c>
      <c r="I8" s="189" t="s">
        <v>665</v>
      </c>
      <c r="J8" s="184" t="s">
        <v>663</v>
      </c>
      <c r="K8" s="185" t="s">
        <v>375</v>
      </c>
      <c r="L8" s="1" t="s">
        <v>376</v>
      </c>
      <c r="M8" s="1" t="s">
        <v>865</v>
      </c>
    </row>
    <row r="9" spans="1:15" ht="45">
      <c r="A9" s="189" t="s">
        <v>627</v>
      </c>
      <c r="B9" s="189" t="s">
        <v>338</v>
      </c>
      <c r="C9" s="190">
        <v>3</v>
      </c>
      <c r="D9" s="189" t="s">
        <v>634</v>
      </c>
      <c r="E9" s="189" t="s">
        <v>628</v>
      </c>
      <c r="F9" s="189" t="s">
        <v>635</v>
      </c>
      <c r="G9" s="189" t="s">
        <v>380</v>
      </c>
      <c r="H9" s="189" t="s">
        <v>636</v>
      </c>
      <c r="I9" s="187" t="s">
        <v>343</v>
      </c>
      <c r="J9" s="198" t="s">
        <v>343</v>
      </c>
      <c r="K9" s="185" t="s">
        <v>367</v>
      </c>
      <c r="L9" s="1" t="s">
        <v>661</v>
      </c>
      <c r="M9" s="134" t="s">
        <v>870</v>
      </c>
    </row>
    <row r="10" spans="1:15" ht="60">
      <c r="A10" s="189" t="s">
        <v>627</v>
      </c>
      <c r="B10" s="189" t="s">
        <v>405</v>
      </c>
      <c r="C10" s="190">
        <v>4</v>
      </c>
      <c r="D10" s="189" t="s">
        <v>637</v>
      </c>
      <c r="E10" s="189" t="s">
        <v>628</v>
      </c>
      <c r="F10" s="189" t="s">
        <v>638</v>
      </c>
      <c r="G10" s="189" t="s">
        <v>380</v>
      </c>
      <c r="H10" s="189" t="s">
        <v>630</v>
      </c>
      <c r="I10" s="187" t="s">
        <v>343</v>
      </c>
      <c r="J10" s="184" t="s">
        <v>663</v>
      </c>
      <c r="K10" s="185" t="s">
        <v>662</v>
      </c>
      <c r="L10" s="197" t="s">
        <v>776</v>
      </c>
      <c r="M10" s="134" t="s">
        <v>775</v>
      </c>
      <c r="N10" s="134" t="s">
        <v>866</v>
      </c>
    </row>
    <row r="11" spans="1:15" ht="45">
      <c r="A11" s="189" t="s">
        <v>627</v>
      </c>
      <c r="B11" s="189" t="s">
        <v>405</v>
      </c>
      <c r="C11" s="190">
        <v>5</v>
      </c>
      <c r="D11" s="189" t="s">
        <v>639</v>
      </c>
      <c r="E11" s="189" t="s">
        <v>628</v>
      </c>
      <c r="F11" s="189" t="s">
        <v>640</v>
      </c>
      <c r="G11" s="189" t="s">
        <v>380</v>
      </c>
      <c r="H11" s="189" t="s">
        <v>630</v>
      </c>
      <c r="I11" s="187" t="s">
        <v>343</v>
      </c>
      <c r="J11" s="198" t="s">
        <v>343</v>
      </c>
      <c r="K11" s="186" t="s">
        <v>777</v>
      </c>
      <c r="L11" s="1" t="s">
        <v>400</v>
      </c>
      <c r="M11" s="134" t="s">
        <v>866</v>
      </c>
      <c r="N11" s="134" t="s">
        <v>863</v>
      </c>
    </row>
    <row r="12" spans="1:15" ht="45">
      <c r="A12" s="189" t="s">
        <v>627</v>
      </c>
      <c r="B12" s="189" t="s">
        <v>405</v>
      </c>
      <c r="C12" s="190">
        <v>6</v>
      </c>
      <c r="D12" s="189" t="s">
        <v>641</v>
      </c>
      <c r="E12" s="189" t="s">
        <v>628</v>
      </c>
      <c r="F12" s="189" t="s">
        <v>642</v>
      </c>
      <c r="G12" s="189" t="s">
        <v>380</v>
      </c>
      <c r="H12" s="189" t="s">
        <v>630</v>
      </c>
      <c r="I12" s="187" t="s">
        <v>343</v>
      </c>
      <c r="J12" s="198" t="s">
        <v>343</v>
      </c>
      <c r="K12" s="186" t="s">
        <v>777</v>
      </c>
      <c r="L12" s="1" t="s">
        <v>404</v>
      </c>
      <c r="M12" s="134" t="s">
        <v>866</v>
      </c>
      <c r="N12" s="134" t="s">
        <v>863</v>
      </c>
    </row>
    <row r="13" spans="1:15" ht="45">
      <c r="A13" s="189" t="s">
        <v>627</v>
      </c>
      <c r="B13" s="189" t="s">
        <v>405</v>
      </c>
      <c r="C13" s="190">
        <v>7</v>
      </c>
      <c r="D13" s="189" t="s">
        <v>643</v>
      </c>
      <c r="E13" s="189" t="s">
        <v>628</v>
      </c>
      <c r="F13" s="189" t="s">
        <v>644</v>
      </c>
      <c r="G13" s="189" t="s">
        <v>380</v>
      </c>
      <c r="H13" s="189" t="s">
        <v>636</v>
      </c>
      <c r="I13" s="187" t="s">
        <v>343</v>
      </c>
      <c r="J13" s="184" t="s">
        <v>663</v>
      </c>
      <c r="K13" s="185" t="s">
        <v>782</v>
      </c>
      <c r="L13" s="1" t="s">
        <v>424</v>
      </c>
      <c r="M13" s="134" t="s">
        <v>866</v>
      </c>
      <c r="N13" s="1" t="s">
        <v>868</v>
      </c>
    </row>
    <row r="14" spans="1:15" ht="45">
      <c r="A14" s="189" t="s">
        <v>627</v>
      </c>
      <c r="B14" s="189" t="s">
        <v>405</v>
      </c>
      <c r="C14" s="190">
        <v>8</v>
      </c>
      <c r="D14" s="189" t="s">
        <v>645</v>
      </c>
      <c r="E14" s="189" t="s">
        <v>628</v>
      </c>
      <c r="F14" s="189" t="s">
        <v>646</v>
      </c>
      <c r="G14" s="189" t="s">
        <v>380</v>
      </c>
      <c r="H14" s="189" t="s">
        <v>636</v>
      </c>
      <c r="I14" s="187" t="s">
        <v>343</v>
      </c>
      <c r="J14" s="198" t="s">
        <v>343</v>
      </c>
      <c r="K14" s="186" t="s">
        <v>778</v>
      </c>
      <c r="L14" s="1" t="s">
        <v>387</v>
      </c>
      <c r="M14" s="134" t="s">
        <v>866</v>
      </c>
    </row>
    <row r="15" spans="1:15" ht="45">
      <c r="A15" s="189" t="s">
        <v>627</v>
      </c>
      <c r="B15" s="189" t="s">
        <v>405</v>
      </c>
      <c r="C15" s="190">
        <v>9</v>
      </c>
      <c r="D15" s="189" t="s">
        <v>647</v>
      </c>
      <c r="E15" s="189" t="s">
        <v>628</v>
      </c>
      <c r="F15" s="189" t="s">
        <v>648</v>
      </c>
      <c r="G15" s="189" t="s">
        <v>649</v>
      </c>
      <c r="H15" s="189" t="s">
        <v>630</v>
      </c>
      <c r="I15" s="187" t="s">
        <v>419</v>
      </c>
      <c r="J15" s="198" t="s">
        <v>343</v>
      </c>
      <c r="K15" s="186" t="s">
        <v>777</v>
      </c>
      <c r="L15" s="1" t="s">
        <v>400</v>
      </c>
      <c r="M15" s="134" t="s">
        <v>861</v>
      </c>
    </row>
    <row r="16" spans="1:15" ht="45">
      <c r="A16" s="189" t="s">
        <v>627</v>
      </c>
      <c r="B16" s="189" t="s">
        <v>650</v>
      </c>
      <c r="C16" s="190">
        <v>10</v>
      </c>
      <c r="D16" s="189" t="s">
        <v>651</v>
      </c>
      <c r="E16" s="189" t="s">
        <v>628</v>
      </c>
      <c r="F16" s="189" t="s">
        <v>652</v>
      </c>
      <c r="G16" s="189" t="s">
        <v>653</v>
      </c>
      <c r="H16" s="189" t="s">
        <v>630</v>
      </c>
      <c r="I16" s="188">
        <v>46234</v>
      </c>
      <c r="J16" s="186" t="s">
        <v>51</v>
      </c>
      <c r="K16" s="186" t="s">
        <v>51</v>
      </c>
      <c r="L16" s="1" t="s">
        <v>784</v>
      </c>
      <c r="M16" s="134" t="s">
        <v>783</v>
      </c>
    </row>
    <row r="17" spans="1:13" ht="60">
      <c r="A17" s="189" t="s">
        <v>627</v>
      </c>
      <c r="B17" s="189" t="s">
        <v>654</v>
      </c>
      <c r="C17" s="190">
        <v>11</v>
      </c>
      <c r="D17" s="189" t="s">
        <v>655</v>
      </c>
      <c r="E17" s="189" t="s">
        <v>628</v>
      </c>
      <c r="F17" s="189" t="s">
        <v>656</v>
      </c>
      <c r="G17" s="189" t="s">
        <v>657</v>
      </c>
      <c r="H17" s="189" t="s">
        <v>630</v>
      </c>
      <c r="I17" s="187" t="s">
        <v>389</v>
      </c>
      <c r="J17" s="184" t="s">
        <v>664</v>
      </c>
      <c r="K17" s="185" t="s">
        <v>359</v>
      </c>
      <c r="L17" s="1" t="s">
        <v>360</v>
      </c>
      <c r="M17" s="1" t="s">
        <v>865</v>
      </c>
    </row>
  </sheetData>
  <mergeCells count="4">
    <mergeCell ref="A2:L2"/>
    <mergeCell ref="A4:H4"/>
    <mergeCell ref="J4:L4"/>
    <mergeCell ref="D7:I7"/>
  </mergeCells>
  <conditionalFormatting sqref="A4">
    <cfRule type="cellIs" dxfId="101" priority="7" operator="equal">
      <formula>"Overdue"</formula>
    </cfRule>
    <cfRule type="cellIs" dxfId="100" priority="8" operator="equal">
      <formula>"In Progress"</formula>
    </cfRule>
    <cfRule type="cellIs" dxfId="99" priority="9" operator="equal">
      <formula>"Completed"</formula>
    </cfRule>
  </conditionalFormatting>
  <conditionalFormatting sqref="A5:L5">
    <cfRule type="cellIs" dxfId="98" priority="4" operator="equal">
      <formula>"Overdue"</formula>
    </cfRule>
    <cfRule type="cellIs" dxfId="97" priority="5" operator="equal">
      <formula>"In Progress"</formula>
    </cfRule>
    <cfRule type="cellIs" dxfId="96" priority="6" operator="equal">
      <formula>"Completed"</formula>
    </cfRule>
  </conditionalFormatting>
  <conditionalFormatting sqref="M5:N5">
    <cfRule type="cellIs" dxfId="95" priority="1" operator="equal">
      <formula>"Overdue"</formula>
    </cfRule>
    <cfRule type="cellIs" dxfId="94" priority="2" operator="equal">
      <formula>"In Progress"</formula>
    </cfRule>
    <cfRule type="cellIs" dxfId="93" priority="3" operator="equal">
      <formula>"Completed"</formula>
    </cfRule>
  </conditionalFormatting>
  <hyperlinks>
    <hyperlink ref="M10" r:id="rId1" display="../../../../../../../../:f:/s/DTI-20151005_QTMP/IgAnc2ql6ZkHTJNYpfI3XAcQAelbfeHoMNfdJsEWisydo4U?e=1nwnv8" xr:uid="{F31CE2E9-F838-4671-B29A-4360B409EB54}"/>
    <hyperlink ref="M16" r:id="rId2" display="https://dtinfrastructurecomau.sharepoint.com/:b:/s/DTI-20151005_QTMP/IQDT4rb_IYGzRqcd8uCmASEMAfDpp6MO4MbEmcOxROkp7Pk?e=HZlqJF" xr:uid="{3917875C-8421-4BC3-9B62-9B30B89447EA}"/>
    <hyperlink ref="M15" r:id="rId3" display="../../../../../../../../:f:/s/DTI-20151005_QTMP/IgCUPYIevMk_RZ57ODl8N38EAfC5PcZcKMnRNnE2MQa6g5o?e=LM1FYM" xr:uid="{DBAA1BEB-DC33-4CCC-8050-C29C74B95410}"/>
    <hyperlink ref="M6" r:id="rId4" display="../../../../../../../../:f:/s/DTI-20151005_QTMP/IgC9_6ylscTTQLUfc0r2PQAoAfLWUralj0nfEskS10RG9ts?e=SpMwNj" xr:uid="{B2334D0D-8C38-4044-AB61-CB2BBDA5C59B}"/>
    <hyperlink ref="M9" r:id="rId5" display="../../../../../../../../:f:/s/DTI-20151005_QTMP/IgCeNg-uicevRq2xd7hNZdoFAfFNbJd2DArHVhGnw_2H6IE?e=Kdv3br" xr:uid="{8627ADB8-2943-4D1D-89E5-60576AFE657A}"/>
    <hyperlink ref="N10" r:id="rId6" display="../../../../../../../../:f:/s/DTI-20151005_QTMP/IgBTb9L0aVaPRZTWpBMRRfBiAR-K1xvWVeTeTqGqOWpyC50?e=xm8pzW" xr:uid="{B927C417-7CD8-49F2-ACD0-60FBB1119F0B}"/>
    <hyperlink ref="N11" r:id="rId7" display="https://dtinfrastructurecomau.sharepoint.com/:b:/s/DTI-20151005_QTMP/IQBnrZuCxvs_RpRFnz1NmueJAZlw0Y3v1mbnbgRLGrJT4KY?e=vEQvhf" xr:uid="{91B610CB-1254-4F04-9192-7A807368238C}"/>
    <hyperlink ref="M11" r:id="rId8" display="../../../../../../../../:f:/s/DTI-20151005_QTMP/IgBTb9L0aVaPRZTWpBMRRfBiAR-K1xvWVeTeTqGqOWpyC50?e=xm8pzW" xr:uid="{31846757-65E0-4B7B-A1D2-B3C6BC726DC1}"/>
    <hyperlink ref="N12" r:id="rId9" display="https://dtinfrastructurecomau.sharepoint.com/:b:/s/DTI-20151005_QTMP/IQBnrZuCxvs_RpRFnz1NmueJAZlw0Y3v1mbnbgRLGrJT4KY?e=vEQvhf" xr:uid="{02B1D6DD-1444-4779-A448-2EFF28B29361}"/>
    <hyperlink ref="M12" r:id="rId10" display="../../../../../../../../:f:/s/DTI-20151005_QTMP/IgBTb9L0aVaPRZTWpBMRRfBiAR-K1xvWVeTeTqGqOWpyC50?e=xm8pzW" xr:uid="{88DF37AE-B788-4D62-B10E-91F8358B0AD2}"/>
    <hyperlink ref="M13" r:id="rId11" display="../../../../../../../../:f:/s/DTI-20151005_QTMP/IgBTb9L0aVaPRZTWpBMRRfBiAR-K1xvWVeTeTqGqOWpyC50?e=xm8pzW" xr:uid="{29618524-6C88-4ECA-A47D-F0624F02734F}"/>
    <hyperlink ref="M14" r:id="rId12" display="../../../../../../../../:f:/s/DTI-20151005_QTMP/IgBTb9L0aVaPRZTWpBMRRfBiAR-K1xvWVeTeTqGqOWpyC50?e=xm8pzW" xr:uid="{836FE472-6F90-44A7-9BAF-0B818EDA8803}"/>
  </hyperlinks>
  <pageMargins left="0.7" right="0.7" top="0.75" bottom="0.75" header="0.3" footer="0.3"/>
  <pageSetup paperSize="9" orientation="portrait" r:id="rId13"/>
  <legacyDrawing r:id="rId1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0774B-07C0-4B97-870E-6E3A2EBA5CB8}">
  <sheetPr>
    <tabColor theme="7" tint="0.39997558519241921"/>
    <pageSetUpPr fitToPage="1"/>
  </sheetPr>
  <dimension ref="A1:N45"/>
  <sheetViews>
    <sheetView topLeftCell="A20" zoomScale="85" zoomScaleNormal="85" workbookViewId="0">
      <pane ySplit="3" topLeftCell="A42" activePane="bottomLeft" state="frozen"/>
      <selection activeCell="A20" sqref="A20"/>
      <selection pane="bottomLeft" activeCell="N45" sqref="N45"/>
    </sheetView>
  </sheetViews>
  <sheetFormatPr defaultColWidth="11" defaultRowHeight="12" customHeight="1"/>
  <cols>
    <col min="1" max="3" width="20.140625" style="1" customWidth="1"/>
    <col min="4" max="4" width="44.140625" style="1" customWidth="1"/>
    <col min="5" max="5" width="22.42578125" style="1" customWidth="1"/>
    <col min="6" max="6" width="20.140625" style="1" customWidth="1"/>
    <col min="7" max="7" width="13" style="1" customWidth="1"/>
    <col min="8" max="8" width="19.5703125" style="1" customWidth="1"/>
    <col min="9" max="9" width="25.28515625" style="1" customWidth="1"/>
    <col min="10" max="10" width="40.28515625" style="1" customWidth="1"/>
    <col min="11" max="11" width="20" style="1" customWidth="1"/>
    <col min="12" max="16384" width="11" style="1"/>
  </cols>
  <sheetData>
    <row r="1" spans="1:10" ht="12" hidden="1" customHeight="1"/>
    <row r="2" spans="1:10" ht="24.75" hidden="1">
      <c r="A2" s="202" t="s">
        <v>9</v>
      </c>
      <c r="B2" s="202"/>
      <c r="C2" s="202"/>
      <c r="D2" s="202"/>
      <c r="E2" s="202"/>
      <c r="F2" s="202"/>
      <c r="G2" s="202"/>
      <c r="H2" s="202"/>
      <c r="I2" s="202"/>
      <c r="J2" s="202"/>
    </row>
    <row r="3" spans="1:10" hidden="1"/>
    <row r="4" spans="1:10" ht="20.25" hidden="1" customHeight="1">
      <c r="A4" s="203" t="s">
        <v>22</v>
      </c>
      <c r="B4" s="203"/>
      <c r="C4" s="203"/>
      <c r="D4" s="203"/>
      <c r="E4" s="203"/>
      <c r="F4" s="203"/>
      <c r="G4" s="136"/>
      <c r="H4" s="203" t="s">
        <v>24</v>
      </c>
      <c r="I4" s="203"/>
      <c r="J4" s="203"/>
    </row>
    <row r="5" spans="1:10" ht="24" hidden="1">
      <c r="A5" s="75" t="s">
        <v>25</v>
      </c>
      <c r="B5" s="75" t="s">
        <v>26</v>
      </c>
      <c r="C5" s="75" t="s">
        <v>27</v>
      </c>
      <c r="D5" s="75" t="s">
        <v>28</v>
      </c>
      <c r="E5" s="75" t="s">
        <v>425</v>
      </c>
      <c r="F5" s="75" t="s">
        <v>30</v>
      </c>
      <c r="G5" s="76" t="s">
        <v>33</v>
      </c>
      <c r="H5" s="76" t="s">
        <v>24</v>
      </c>
      <c r="I5" s="76" t="s">
        <v>34</v>
      </c>
      <c r="J5" s="76" t="s">
        <v>257</v>
      </c>
    </row>
    <row r="6" spans="1:10" ht="37.5" hidden="1" customHeight="1">
      <c r="A6" s="31" t="s">
        <v>426</v>
      </c>
      <c r="B6" s="31" t="s">
        <v>427</v>
      </c>
      <c r="C6" s="32" t="s">
        <v>428</v>
      </c>
      <c r="D6" s="32" t="s">
        <v>429</v>
      </c>
      <c r="E6" s="33" t="s">
        <v>430</v>
      </c>
      <c r="F6" s="34"/>
      <c r="G6" s="37">
        <v>45226</v>
      </c>
      <c r="H6" s="35" t="s">
        <v>51</v>
      </c>
      <c r="I6" s="32"/>
      <c r="J6" s="134" t="s">
        <v>431</v>
      </c>
    </row>
    <row r="7" spans="1:10" ht="40.5" hidden="1" customHeight="1">
      <c r="A7" s="31" t="s">
        <v>426</v>
      </c>
      <c r="B7" s="31" t="s">
        <v>427</v>
      </c>
      <c r="C7" s="32" t="s">
        <v>428</v>
      </c>
      <c r="D7" s="32" t="s">
        <v>432</v>
      </c>
      <c r="E7" s="33" t="s">
        <v>430</v>
      </c>
      <c r="F7" s="34"/>
      <c r="G7" s="37">
        <v>45227</v>
      </c>
      <c r="H7" s="35" t="s">
        <v>49</v>
      </c>
      <c r="I7" s="32"/>
      <c r="J7" s="134" t="s">
        <v>431</v>
      </c>
    </row>
    <row r="8" spans="1:10" ht="20.100000000000001" hidden="1" customHeight="1">
      <c r="A8" s="24" t="s">
        <v>433</v>
      </c>
      <c r="B8" s="24"/>
      <c r="C8" s="20"/>
      <c r="D8" s="20"/>
      <c r="E8" s="23"/>
      <c r="F8" s="21"/>
      <c r="G8" s="17"/>
      <c r="H8" s="30"/>
      <c r="I8" s="20"/>
      <c r="J8" s="21"/>
    </row>
    <row r="9" spans="1:10" ht="20.100000000000001" hidden="1" customHeight="1">
      <c r="A9" s="24" t="s">
        <v>433</v>
      </c>
      <c r="B9" s="24"/>
      <c r="C9" s="20"/>
      <c r="D9" s="20"/>
      <c r="E9" s="23"/>
      <c r="F9" s="21"/>
      <c r="G9" s="17"/>
      <c r="H9" s="30"/>
      <c r="I9" s="20"/>
      <c r="J9" s="21"/>
    </row>
    <row r="10" spans="1:10" ht="20.100000000000001" hidden="1" customHeight="1">
      <c r="A10" s="24"/>
      <c r="B10" s="24"/>
      <c r="C10" s="20"/>
      <c r="D10" s="20"/>
      <c r="E10" s="23"/>
      <c r="F10" s="21"/>
      <c r="G10" s="17"/>
      <c r="H10" s="30"/>
      <c r="I10" s="20"/>
      <c r="J10" s="21"/>
    </row>
    <row r="11" spans="1:10" ht="20.100000000000001" hidden="1" customHeight="1">
      <c r="A11" s="24"/>
      <c r="B11" s="24"/>
      <c r="C11" s="20"/>
      <c r="D11" s="20"/>
      <c r="E11" s="23"/>
      <c r="F11" s="21"/>
      <c r="G11" s="17"/>
      <c r="H11" s="30"/>
      <c r="I11" s="20"/>
      <c r="J11" s="21"/>
    </row>
    <row r="12" spans="1:10" ht="20.100000000000001" hidden="1" customHeight="1">
      <c r="A12" s="24"/>
      <c r="B12" s="24"/>
      <c r="C12" s="20"/>
      <c r="D12" s="20"/>
      <c r="E12" s="23"/>
      <c r="F12" s="21"/>
      <c r="G12" s="17"/>
      <c r="H12" s="30"/>
      <c r="I12" s="20"/>
      <c r="J12" s="21"/>
    </row>
    <row r="13" spans="1:10" ht="20.100000000000001" hidden="1" customHeight="1">
      <c r="A13" s="24"/>
      <c r="B13" s="24"/>
      <c r="C13" s="20"/>
      <c r="D13" s="20"/>
      <c r="E13" s="23"/>
      <c r="F13" s="21"/>
      <c r="G13" s="17"/>
      <c r="H13" s="30"/>
      <c r="I13" s="20"/>
      <c r="J13" s="21"/>
    </row>
    <row r="14" spans="1:10" ht="20.100000000000001" hidden="1" customHeight="1">
      <c r="A14" s="24"/>
      <c r="B14" s="24"/>
      <c r="C14" s="20"/>
      <c r="D14" s="20"/>
      <c r="E14" s="23"/>
      <c r="F14" s="21"/>
      <c r="G14" s="17"/>
      <c r="H14" s="30"/>
      <c r="I14" s="20"/>
      <c r="J14" s="21"/>
    </row>
    <row r="15" spans="1:10" ht="20.100000000000001" hidden="1" customHeight="1">
      <c r="A15" s="24"/>
      <c r="B15" s="24"/>
      <c r="C15" s="20"/>
      <c r="D15" s="20"/>
      <c r="E15" s="23"/>
      <c r="F15" s="21"/>
      <c r="G15" s="17"/>
      <c r="H15" s="30"/>
      <c r="I15" s="20"/>
      <c r="J15" s="21"/>
    </row>
    <row r="16" spans="1:10" ht="20.100000000000001" hidden="1" customHeight="1">
      <c r="A16" s="24"/>
      <c r="B16" s="24"/>
      <c r="C16" s="20"/>
      <c r="D16" s="20"/>
      <c r="E16" s="23"/>
      <c r="F16" s="21"/>
      <c r="G16" s="17"/>
      <c r="H16" s="30"/>
      <c r="I16" s="20"/>
      <c r="J16" s="21"/>
    </row>
    <row r="17" spans="1:14" ht="20.100000000000001" hidden="1" customHeight="1">
      <c r="A17" s="24"/>
      <c r="B17" s="24"/>
      <c r="C17" s="20"/>
      <c r="D17" s="20"/>
      <c r="E17" s="23"/>
      <c r="F17" s="21"/>
      <c r="G17" s="17"/>
      <c r="H17" s="30"/>
      <c r="I17" s="20"/>
      <c r="J17" s="21"/>
    </row>
    <row r="18" spans="1:14" ht="20.100000000000001" hidden="1" customHeight="1">
      <c r="A18" s="24"/>
      <c r="B18" s="24"/>
      <c r="C18" s="20"/>
      <c r="D18" s="20"/>
      <c r="E18" s="23"/>
      <c r="F18" s="21"/>
      <c r="G18" s="17"/>
      <c r="H18" s="30"/>
      <c r="I18" s="20"/>
      <c r="J18" s="21"/>
    </row>
    <row r="19" spans="1:14" ht="20.100000000000001" hidden="1" customHeight="1">
      <c r="A19" s="24"/>
      <c r="B19" s="24"/>
      <c r="C19" s="20"/>
      <c r="D19" s="20"/>
      <c r="E19" s="23"/>
      <c r="F19" s="21"/>
      <c r="G19" s="17"/>
      <c r="H19" s="30"/>
      <c r="I19" s="20"/>
      <c r="J19" s="21"/>
    </row>
    <row r="21" spans="1:14" ht="12" customHeight="1">
      <c r="A21" s="129" t="s">
        <v>426</v>
      </c>
      <c r="B21" s="201" t="s">
        <v>805</v>
      </c>
      <c r="C21" s="134" t="s">
        <v>807</v>
      </c>
    </row>
    <row r="22" spans="1:14" ht="12" customHeight="1">
      <c r="A22" s="86" t="s">
        <v>25</v>
      </c>
      <c r="B22" s="86" t="s">
        <v>26</v>
      </c>
      <c r="C22" s="86" t="s">
        <v>785</v>
      </c>
      <c r="D22" s="86" t="s">
        <v>787</v>
      </c>
      <c r="E22" s="86" t="s">
        <v>59</v>
      </c>
      <c r="F22" s="86" t="s">
        <v>60</v>
      </c>
      <c r="G22" s="86" t="s">
        <v>315</v>
      </c>
      <c r="H22" s="86" t="s">
        <v>30</v>
      </c>
      <c r="I22" s="86" t="s">
        <v>33</v>
      </c>
      <c r="J22" s="86" t="s">
        <v>24</v>
      </c>
      <c r="K22" s="99" t="s">
        <v>34</v>
      </c>
      <c r="L22" s="86" t="s">
        <v>257</v>
      </c>
      <c r="M22" s="86" t="s">
        <v>773</v>
      </c>
      <c r="N22" s="86" t="s">
        <v>773</v>
      </c>
    </row>
    <row r="23" spans="1:14" ht="60">
      <c r="A23" s="189" t="s">
        <v>855</v>
      </c>
      <c r="B23" s="187" t="s">
        <v>788</v>
      </c>
      <c r="C23" s="187">
        <v>1</v>
      </c>
      <c r="D23" s="189" t="s">
        <v>789</v>
      </c>
      <c r="E23" s="189" t="s">
        <v>804</v>
      </c>
      <c r="F23" s="189" t="s">
        <v>790</v>
      </c>
      <c r="G23" s="189" t="s">
        <v>380</v>
      </c>
      <c r="H23" s="189" t="s">
        <v>791</v>
      </c>
      <c r="I23" s="189" t="s">
        <v>792</v>
      </c>
      <c r="J23" s="198" t="s">
        <v>343</v>
      </c>
      <c r="K23" s="184" t="s">
        <v>663</v>
      </c>
      <c r="L23" s="184" t="s">
        <v>345</v>
      </c>
      <c r="M23" s="134" t="s">
        <v>879</v>
      </c>
      <c r="N23" s="134" t="s">
        <v>866</v>
      </c>
    </row>
    <row r="24" spans="1:14" ht="150">
      <c r="A24" s="187" t="s">
        <v>793</v>
      </c>
      <c r="B24" s="187" t="s">
        <v>788</v>
      </c>
      <c r="C24" s="187">
        <v>2</v>
      </c>
      <c r="D24" s="189" t="s">
        <v>825</v>
      </c>
      <c r="E24" s="189" t="s">
        <v>349</v>
      </c>
      <c r="F24" s="189" t="s">
        <v>794</v>
      </c>
      <c r="G24" s="189" t="s">
        <v>845</v>
      </c>
      <c r="H24" s="189" t="s">
        <v>45</v>
      </c>
      <c r="I24" s="189" t="s">
        <v>374</v>
      </c>
      <c r="J24" s="184" t="s">
        <v>663</v>
      </c>
      <c r="K24" s="185" t="s">
        <v>375</v>
      </c>
      <c r="L24" s="1" t="s">
        <v>376</v>
      </c>
      <c r="M24" s="134" t="s">
        <v>880</v>
      </c>
    </row>
    <row r="25" spans="1:14" ht="108">
      <c r="A25" s="187" t="s">
        <v>793</v>
      </c>
      <c r="B25" s="187" t="s">
        <v>788</v>
      </c>
      <c r="C25" s="187">
        <v>3</v>
      </c>
      <c r="D25" s="189" t="s">
        <v>795</v>
      </c>
      <c r="E25" s="189" t="s">
        <v>355</v>
      </c>
      <c r="F25" s="189" t="s">
        <v>796</v>
      </c>
      <c r="G25" s="189" t="s">
        <v>380</v>
      </c>
      <c r="H25" s="189" t="s">
        <v>797</v>
      </c>
      <c r="I25" s="189" t="s">
        <v>343</v>
      </c>
      <c r="J25" s="198" t="s">
        <v>343</v>
      </c>
      <c r="K25" s="185" t="s">
        <v>367</v>
      </c>
      <c r="L25" s="1" t="s">
        <v>661</v>
      </c>
      <c r="M25" s="134" t="s">
        <v>870</v>
      </c>
      <c r="N25" s="134" t="s">
        <v>866</v>
      </c>
    </row>
    <row r="26" spans="1:14" ht="192">
      <c r="A26" s="187" t="s">
        <v>793</v>
      </c>
      <c r="B26" s="187" t="s">
        <v>788</v>
      </c>
      <c r="C26" s="187">
        <v>4</v>
      </c>
      <c r="D26" s="189" t="s">
        <v>798</v>
      </c>
      <c r="E26" s="189" t="s">
        <v>363</v>
      </c>
      <c r="F26" s="189" t="s">
        <v>799</v>
      </c>
      <c r="G26" s="189" t="s">
        <v>380</v>
      </c>
      <c r="H26" s="189" t="s">
        <v>386</v>
      </c>
      <c r="I26" s="189" t="s">
        <v>343</v>
      </c>
      <c r="J26" s="184" t="s">
        <v>663</v>
      </c>
      <c r="K26" s="185" t="s">
        <v>662</v>
      </c>
      <c r="L26" s="197" t="s">
        <v>776</v>
      </c>
      <c r="M26" s="134" t="s">
        <v>775</v>
      </c>
      <c r="N26" s="134" t="s">
        <v>866</v>
      </c>
    </row>
    <row r="27" spans="1:14" ht="165">
      <c r="A27" s="187" t="s">
        <v>793</v>
      </c>
      <c r="B27" s="187" t="s">
        <v>788</v>
      </c>
      <c r="C27" s="187" t="s">
        <v>826</v>
      </c>
      <c r="D27" s="189" t="s">
        <v>856</v>
      </c>
      <c r="E27" s="189" t="s">
        <v>371</v>
      </c>
      <c r="F27" s="189" t="s">
        <v>800</v>
      </c>
      <c r="G27" s="189" t="s">
        <v>846</v>
      </c>
      <c r="H27" s="189" t="s">
        <v>266</v>
      </c>
      <c r="I27" s="189" t="s">
        <v>801</v>
      </c>
      <c r="J27" s="184" t="s">
        <v>664</v>
      </c>
      <c r="K27" s="185" t="s">
        <v>359</v>
      </c>
      <c r="L27" s="1" t="s">
        <v>360</v>
      </c>
      <c r="M27" s="1" t="s">
        <v>865</v>
      </c>
      <c r="N27" s="134" t="s">
        <v>866</v>
      </c>
    </row>
    <row r="28" spans="1:14" ht="255">
      <c r="A28" s="187"/>
      <c r="B28" s="187"/>
      <c r="C28" s="187" t="s">
        <v>827</v>
      </c>
      <c r="D28" s="189" t="s">
        <v>828</v>
      </c>
      <c r="E28" s="189" t="s">
        <v>371</v>
      </c>
      <c r="F28" s="189" t="s">
        <v>800</v>
      </c>
      <c r="G28" s="189" t="s">
        <v>847</v>
      </c>
      <c r="H28" s="189" t="s">
        <v>266</v>
      </c>
      <c r="I28" s="189" t="s">
        <v>801</v>
      </c>
      <c r="J28" s="184" t="s">
        <v>664</v>
      </c>
      <c r="K28" s="185" t="s">
        <v>359</v>
      </c>
      <c r="L28" s="1" t="s">
        <v>360</v>
      </c>
      <c r="M28" s="134" t="s">
        <v>866</v>
      </c>
    </row>
    <row r="29" spans="1:14" ht="135">
      <c r="A29" s="187" t="s">
        <v>793</v>
      </c>
      <c r="B29" s="187" t="s">
        <v>788</v>
      </c>
      <c r="C29" s="187" t="s">
        <v>837</v>
      </c>
      <c r="D29" s="189" t="s">
        <v>839</v>
      </c>
      <c r="E29" s="189" t="s">
        <v>378</v>
      </c>
      <c r="F29" s="189" t="s">
        <v>802</v>
      </c>
      <c r="G29" s="189" t="s">
        <v>848</v>
      </c>
      <c r="H29" s="189" t="s">
        <v>797</v>
      </c>
      <c r="I29" s="189" t="s">
        <v>803</v>
      </c>
      <c r="J29" s="184" t="s">
        <v>663</v>
      </c>
      <c r="K29" s="185" t="s">
        <v>375</v>
      </c>
      <c r="L29" s="1" t="s">
        <v>857</v>
      </c>
      <c r="M29" s="134" t="s">
        <v>866</v>
      </c>
    </row>
    <row r="30" spans="1:14" ht="108">
      <c r="A30" s="187"/>
      <c r="B30" s="187"/>
      <c r="C30" s="187" t="s">
        <v>838</v>
      </c>
      <c r="D30" s="189" t="s">
        <v>840</v>
      </c>
      <c r="E30" s="189" t="s">
        <v>378</v>
      </c>
      <c r="F30" s="189" t="s">
        <v>802</v>
      </c>
      <c r="G30" s="189" t="s">
        <v>849</v>
      </c>
      <c r="H30" s="189" t="s">
        <v>797</v>
      </c>
      <c r="I30" s="189" t="s">
        <v>803</v>
      </c>
      <c r="J30" s="184" t="s">
        <v>663</v>
      </c>
      <c r="K30" s="185" t="s">
        <v>375</v>
      </c>
      <c r="L30" s="1" t="s">
        <v>661</v>
      </c>
      <c r="M30" s="134" t="s">
        <v>870</v>
      </c>
      <c r="N30" s="134" t="s">
        <v>866</v>
      </c>
    </row>
    <row r="32" spans="1:14" ht="12" customHeight="1">
      <c r="A32" s="129" t="s">
        <v>433</v>
      </c>
      <c r="B32" s="134" t="s">
        <v>806</v>
      </c>
      <c r="C32" s="134" t="s">
        <v>807</v>
      </c>
    </row>
    <row r="33" spans="1:14" ht="12" customHeight="1">
      <c r="A33" s="86" t="s">
        <v>25</v>
      </c>
      <c r="B33" s="86" t="s">
        <v>26</v>
      </c>
      <c r="C33" s="86" t="s">
        <v>785</v>
      </c>
      <c r="D33" s="86" t="s">
        <v>787</v>
      </c>
      <c r="E33" s="86" t="s">
        <v>59</v>
      </c>
      <c r="F33" s="86" t="s">
        <v>60</v>
      </c>
      <c r="G33" s="86" t="s">
        <v>315</v>
      </c>
      <c r="H33" s="86" t="s">
        <v>30</v>
      </c>
      <c r="I33" s="86" t="s">
        <v>33</v>
      </c>
      <c r="J33" s="86" t="s">
        <v>24</v>
      </c>
      <c r="K33" s="99" t="s">
        <v>34</v>
      </c>
      <c r="L33" s="86" t="s">
        <v>257</v>
      </c>
      <c r="M33" s="86" t="s">
        <v>773</v>
      </c>
      <c r="N33" s="86" t="s">
        <v>773</v>
      </c>
    </row>
    <row r="34" spans="1:14" ht="102.75" customHeight="1">
      <c r="A34" s="200" t="s">
        <v>808</v>
      </c>
      <c r="B34" s="200" t="s">
        <v>788</v>
      </c>
      <c r="C34" s="200">
        <v>1</v>
      </c>
      <c r="D34" s="189" t="s">
        <v>809</v>
      </c>
      <c r="E34" s="200" t="s">
        <v>810</v>
      </c>
      <c r="F34" s="200" t="s">
        <v>811</v>
      </c>
      <c r="G34" s="200" t="s">
        <v>380</v>
      </c>
      <c r="H34" s="200" t="s">
        <v>812</v>
      </c>
      <c r="I34" s="200" t="s">
        <v>343</v>
      </c>
      <c r="J34" s="184" t="s">
        <v>663</v>
      </c>
      <c r="K34" s="185" t="s">
        <v>375</v>
      </c>
      <c r="L34" s="1" t="s">
        <v>857</v>
      </c>
      <c r="M34" s="134" t="s">
        <v>879</v>
      </c>
      <c r="N34" s="134" t="s">
        <v>866</v>
      </c>
    </row>
    <row r="35" spans="1:14" ht="72" customHeight="1">
      <c r="A35" s="200" t="s">
        <v>793</v>
      </c>
      <c r="B35" s="200" t="s">
        <v>788</v>
      </c>
      <c r="C35" s="200">
        <v>2</v>
      </c>
      <c r="D35" s="189" t="s">
        <v>829</v>
      </c>
      <c r="E35" s="200" t="s">
        <v>349</v>
      </c>
      <c r="F35" s="200" t="s">
        <v>813</v>
      </c>
      <c r="G35" s="200" t="s">
        <v>814</v>
      </c>
      <c r="H35" s="200" t="s">
        <v>266</v>
      </c>
      <c r="I35" s="200" t="s">
        <v>815</v>
      </c>
      <c r="J35" s="1" t="s">
        <v>858</v>
      </c>
    </row>
    <row r="36" spans="1:14" ht="72" customHeight="1">
      <c r="A36" s="200"/>
      <c r="B36" s="200"/>
      <c r="C36" s="200" t="s">
        <v>830</v>
      </c>
      <c r="D36" s="189" t="s">
        <v>834</v>
      </c>
      <c r="E36" s="200" t="s">
        <v>349</v>
      </c>
      <c r="F36" s="200" t="s">
        <v>813</v>
      </c>
      <c r="G36" s="200" t="s">
        <v>814</v>
      </c>
      <c r="H36" s="200" t="s">
        <v>266</v>
      </c>
      <c r="I36" s="200" t="s">
        <v>815</v>
      </c>
      <c r="J36" s="184" t="s">
        <v>664</v>
      </c>
      <c r="K36" s="185" t="s">
        <v>359</v>
      </c>
      <c r="L36" s="1" t="s">
        <v>360</v>
      </c>
      <c r="M36" s="134" t="s">
        <v>866</v>
      </c>
      <c r="N36" s="1" t="s">
        <v>865</v>
      </c>
    </row>
    <row r="37" spans="1:14" ht="72" customHeight="1">
      <c r="A37" s="200"/>
      <c r="B37" s="200"/>
      <c r="C37" s="200" t="s">
        <v>831</v>
      </c>
      <c r="D37" s="189" t="s">
        <v>833</v>
      </c>
      <c r="E37" s="200" t="s">
        <v>349</v>
      </c>
      <c r="F37" s="200" t="s">
        <v>813</v>
      </c>
      <c r="G37" s="200" t="s">
        <v>814</v>
      </c>
      <c r="H37" s="200" t="s">
        <v>266</v>
      </c>
      <c r="I37" s="200" t="s">
        <v>815</v>
      </c>
      <c r="J37" s="184" t="s">
        <v>664</v>
      </c>
      <c r="K37" s="185" t="s">
        <v>359</v>
      </c>
      <c r="L37" s="1" t="s">
        <v>360</v>
      </c>
      <c r="M37" s="134" t="s">
        <v>866</v>
      </c>
      <c r="N37" s="1" t="s">
        <v>865</v>
      </c>
    </row>
    <row r="38" spans="1:14" ht="72" customHeight="1">
      <c r="A38" s="200"/>
      <c r="B38" s="200"/>
      <c r="C38" s="200" t="s">
        <v>832</v>
      </c>
      <c r="D38" s="189" t="s">
        <v>835</v>
      </c>
      <c r="E38" s="200" t="s">
        <v>349</v>
      </c>
      <c r="F38" s="200" t="s">
        <v>813</v>
      </c>
      <c r="G38" s="200" t="s">
        <v>814</v>
      </c>
      <c r="H38" s="200" t="s">
        <v>266</v>
      </c>
      <c r="I38" s="200" t="s">
        <v>815</v>
      </c>
      <c r="J38" s="184" t="s">
        <v>664</v>
      </c>
      <c r="K38" s="185" t="s">
        <v>359</v>
      </c>
      <c r="L38" s="1" t="s">
        <v>360</v>
      </c>
      <c r="M38" s="134" t="s">
        <v>866</v>
      </c>
      <c r="N38" s="1" t="s">
        <v>865</v>
      </c>
    </row>
    <row r="39" spans="1:14" ht="255">
      <c r="A39" s="200" t="s">
        <v>793</v>
      </c>
      <c r="B39" s="200" t="s">
        <v>788</v>
      </c>
      <c r="C39" s="200">
        <v>3</v>
      </c>
      <c r="D39" s="189" t="s">
        <v>836</v>
      </c>
      <c r="E39" s="200" t="s">
        <v>355</v>
      </c>
      <c r="F39" s="200" t="s">
        <v>816</v>
      </c>
      <c r="G39" s="200" t="s">
        <v>850</v>
      </c>
      <c r="H39" s="200" t="s">
        <v>45</v>
      </c>
      <c r="I39" s="200" t="s">
        <v>817</v>
      </c>
      <c r="J39" s="184" t="s">
        <v>663</v>
      </c>
      <c r="K39" s="185" t="s">
        <v>375</v>
      </c>
      <c r="L39" s="1" t="s">
        <v>376</v>
      </c>
      <c r="M39" s="134" t="s">
        <v>864</v>
      </c>
    </row>
    <row r="40" spans="1:14" ht="72" customHeight="1">
      <c r="A40" s="200" t="s">
        <v>793</v>
      </c>
      <c r="B40" s="200" t="s">
        <v>788</v>
      </c>
      <c r="C40" s="200">
        <v>4</v>
      </c>
      <c r="D40" s="189" t="s">
        <v>818</v>
      </c>
      <c r="E40" s="200" t="s">
        <v>363</v>
      </c>
      <c r="F40" s="200" t="s">
        <v>819</v>
      </c>
      <c r="G40" s="200" t="s">
        <v>380</v>
      </c>
      <c r="H40" s="200" t="s">
        <v>797</v>
      </c>
      <c r="I40" s="200" t="s">
        <v>343</v>
      </c>
      <c r="J40" s="198" t="s">
        <v>343</v>
      </c>
      <c r="K40" s="185" t="s">
        <v>367</v>
      </c>
      <c r="L40" s="1" t="s">
        <v>661</v>
      </c>
      <c r="M40" s="134" t="s">
        <v>870</v>
      </c>
      <c r="N40" s="134" t="s">
        <v>866</v>
      </c>
    </row>
    <row r="41" spans="1:14" ht="72" customHeight="1">
      <c r="A41" s="200" t="s">
        <v>793</v>
      </c>
      <c r="B41" s="200" t="s">
        <v>788</v>
      </c>
      <c r="C41" s="200">
        <v>5</v>
      </c>
      <c r="D41" s="189" t="s">
        <v>820</v>
      </c>
      <c r="E41" s="200" t="s">
        <v>371</v>
      </c>
      <c r="F41" s="200" t="s">
        <v>821</v>
      </c>
      <c r="G41" s="200" t="s">
        <v>380</v>
      </c>
      <c r="H41" s="200" t="s">
        <v>386</v>
      </c>
      <c r="I41" s="200" t="s">
        <v>343</v>
      </c>
      <c r="J41" s="184" t="s">
        <v>663</v>
      </c>
      <c r="K41" s="185" t="s">
        <v>662</v>
      </c>
      <c r="L41" s="197" t="s">
        <v>776</v>
      </c>
      <c r="M41" s="134" t="s">
        <v>775</v>
      </c>
      <c r="N41" s="134" t="s">
        <v>866</v>
      </c>
    </row>
    <row r="42" spans="1:14" ht="120">
      <c r="A42" s="200" t="s">
        <v>793</v>
      </c>
      <c r="B42" s="200" t="s">
        <v>788</v>
      </c>
      <c r="C42" s="200" t="s">
        <v>837</v>
      </c>
      <c r="D42" s="189" t="s">
        <v>839</v>
      </c>
      <c r="E42" s="200" t="s">
        <v>378</v>
      </c>
      <c r="F42" s="200" t="s">
        <v>822</v>
      </c>
      <c r="G42" s="200" t="s">
        <v>851</v>
      </c>
      <c r="H42" s="200" t="s">
        <v>797</v>
      </c>
      <c r="I42" s="200" t="s">
        <v>803</v>
      </c>
      <c r="J42" s="184" t="s">
        <v>663</v>
      </c>
      <c r="K42" s="185" t="s">
        <v>375</v>
      </c>
      <c r="L42" s="1" t="s">
        <v>857</v>
      </c>
      <c r="M42" s="134" t="s">
        <v>866</v>
      </c>
      <c r="N42" s="1" t="s">
        <v>865</v>
      </c>
    </row>
    <row r="43" spans="1:14" ht="108">
      <c r="A43" s="200"/>
      <c r="B43" s="200"/>
      <c r="C43" s="200" t="s">
        <v>838</v>
      </c>
      <c r="D43" s="189" t="s">
        <v>840</v>
      </c>
      <c r="E43" s="200" t="s">
        <v>378</v>
      </c>
      <c r="F43" s="200" t="s">
        <v>822</v>
      </c>
      <c r="G43" s="200" t="s">
        <v>849</v>
      </c>
      <c r="H43" s="200" t="s">
        <v>797</v>
      </c>
      <c r="I43" s="200" t="s">
        <v>803</v>
      </c>
      <c r="J43" s="184" t="s">
        <v>663</v>
      </c>
      <c r="K43" s="185" t="s">
        <v>375</v>
      </c>
      <c r="L43" s="1" t="s">
        <v>661</v>
      </c>
      <c r="M43" s="134" t="s">
        <v>866</v>
      </c>
      <c r="N43" s="1" t="s">
        <v>865</v>
      </c>
    </row>
    <row r="44" spans="1:14" ht="75">
      <c r="A44" s="200" t="s">
        <v>793</v>
      </c>
      <c r="B44" s="200" t="s">
        <v>788</v>
      </c>
      <c r="C44" s="200" t="s">
        <v>841</v>
      </c>
      <c r="D44" s="189" t="s">
        <v>843</v>
      </c>
      <c r="E44" s="200" t="s">
        <v>384</v>
      </c>
      <c r="F44" s="200" t="s">
        <v>823</v>
      </c>
      <c r="G44" s="200" t="s">
        <v>852</v>
      </c>
      <c r="H44" s="200" t="s">
        <v>266</v>
      </c>
      <c r="I44" s="200" t="s">
        <v>824</v>
      </c>
      <c r="J44" s="184" t="s">
        <v>664</v>
      </c>
      <c r="K44" s="185" t="s">
        <v>359</v>
      </c>
      <c r="L44" s="1" t="s">
        <v>360</v>
      </c>
      <c r="M44" s="134" t="s">
        <v>866</v>
      </c>
      <c r="N44" s="1" t="s">
        <v>865</v>
      </c>
    </row>
    <row r="45" spans="1:14" ht="240">
      <c r="C45" s="1" t="s">
        <v>842</v>
      </c>
      <c r="D45" s="189" t="s">
        <v>844</v>
      </c>
      <c r="E45" s="200" t="s">
        <v>384</v>
      </c>
      <c r="F45" s="200" t="s">
        <v>823</v>
      </c>
      <c r="G45" s="200" t="s">
        <v>853</v>
      </c>
      <c r="H45" s="200" t="s">
        <v>266</v>
      </c>
      <c r="I45" s="200" t="s">
        <v>824</v>
      </c>
      <c r="J45" s="184" t="s">
        <v>664</v>
      </c>
      <c r="K45" s="185" t="s">
        <v>359</v>
      </c>
      <c r="L45" s="1" t="s">
        <v>360</v>
      </c>
      <c r="M45" s="1" t="s">
        <v>865</v>
      </c>
    </row>
  </sheetData>
  <autoFilter ref="A5:J5" xr:uid="{EAF9F12B-6DB0-4681-8E8E-7BC640BCB124}"/>
  <mergeCells count="3">
    <mergeCell ref="A2:J2"/>
    <mergeCell ref="A4:F4"/>
    <mergeCell ref="H4:J4"/>
  </mergeCells>
  <conditionalFormatting sqref="A4 A5:G5">
    <cfRule type="cellIs" dxfId="92" priority="19" operator="equal">
      <formula>"Overdue"</formula>
    </cfRule>
    <cfRule type="cellIs" dxfId="91" priority="20" operator="equal">
      <formula>"In Progress"</formula>
    </cfRule>
    <cfRule type="cellIs" dxfId="90" priority="21" operator="equal">
      <formula>"Completed"</formula>
    </cfRule>
  </conditionalFormatting>
  <conditionalFormatting sqref="A22:N22">
    <cfRule type="cellIs" dxfId="89" priority="4" operator="equal">
      <formula>"Overdue"</formula>
    </cfRule>
    <cfRule type="cellIs" dxfId="88" priority="5" operator="equal">
      <formula>"In Progress"</formula>
    </cfRule>
    <cfRule type="cellIs" dxfId="87" priority="6" operator="equal">
      <formula>"Completed"</formula>
    </cfRule>
  </conditionalFormatting>
  <conditionalFormatting sqref="A33:N33">
    <cfRule type="cellIs" dxfId="86" priority="1" operator="equal">
      <formula>"Overdue"</formula>
    </cfRule>
    <cfRule type="cellIs" dxfId="85" priority="2" operator="equal">
      <formula>"In Progress"</formula>
    </cfRule>
    <cfRule type="cellIs" dxfId="84" priority="3" operator="equal">
      <formula>"Completed"</formula>
    </cfRule>
  </conditionalFormatting>
  <conditionalFormatting sqref="H5:H19">
    <cfRule type="cellIs" dxfId="83" priority="26" operator="equal">
      <formula>"Overdue"</formula>
    </cfRule>
    <cfRule type="cellIs" dxfId="82" priority="27" operator="equal">
      <formula>"In Progress"</formula>
    </cfRule>
    <cfRule type="cellIs" dxfId="81" priority="28" operator="equal">
      <formula>"Completed"</formula>
    </cfRule>
  </conditionalFormatting>
  <conditionalFormatting sqref="H6:H19">
    <cfRule type="colorScale" priority="18">
      <colorScale>
        <cfvo type="min"/>
        <cfvo type="percentile" val="50"/>
        <cfvo type="max"/>
        <color rgb="FFF8696B"/>
        <color rgb="FFFFEB84"/>
        <color rgb="FF63BE7B"/>
      </colorScale>
    </cfRule>
  </conditionalFormatting>
  <hyperlinks>
    <hyperlink ref="J6" r:id="rId1" display="../../../../../../../../../:f:/r/sites/DTI-20151005_QTMP/Shared Documents/01-HSE HEALTH SAFETY %26 ENVIRONMENT/HSE 03 Enviro Records/01_Approvals/Marine Plants Clearing - TNAR/Approval?csf=1&amp;web=1&amp;e=x3WFwg" xr:uid="{4D5F8013-7E6D-47D7-B4A7-B89307FF35FA}"/>
    <hyperlink ref="J7" r:id="rId2" xr:uid="{F9668279-315E-4F11-B45D-5CCE93035FFC}"/>
    <hyperlink ref="B21" r:id="rId3" display="https://dtinfrastructurecomau.sharepoint.com/:b:/s/DTI-20151005_QTMP/IQAqRM8uWFMKRb9dr00Mh9gOAbz3MJeecDj9lEy68yFqi8M?e=xEFijo" xr:uid="{5C30EA30-3A9B-4BBD-9224-B315E187059D}"/>
    <hyperlink ref="B32" r:id="rId4" display="https://dtinfrastructurecomau.sharepoint.com/:b:/s/DTI-20151005_QTMP/IQCjMvz9IHQATZOoehPw73OsASACwjVuuFQT4M_y_JFzyAo?e=F5XQTn" xr:uid="{65283A08-9377-4876-BF75-07EBAEC3A59F}"/>
    <hyperlink ref="C32" r:id="rId5" display="../../../../../../../../:f:/s/DTI-20151005_QTMP/IgASyzHFvescSKX1uSiiCGLgAdTfatv8TrFwV0Q7tCCkBxk?e=WGnUzb" xr:uid="{7C8883CB-0B2A-40CD-909B-410CEC5D53DA}"/>
    <hyperlink ref="C21" r:id="rId6" display="../../../../../../../../:f:/s/DTI-20151005_QTMP/IgBX-v2USA1MSJ41lIDzNxaOARISYfuTv-AYFRjnNelVgKc?e=AOOLiT" xr:uid="{573691FB-88D8-47B5-811C-7E9A2A417A4A}"/>
    <hyperlink ref="M26" r:id="rId7" display="../../../../../../../../:f:/s/DTI-20151005_QTMP/IgAnc2ql6ZkHTJNYpfI3XAcQAelbfeHoMNfdJsEWisydo4U?e=1nwnv8" xr:uid="{C3AEB1DA-4F80-49DD-9782-C4AFAE2ED9A0}"/>
    <hyperlink ref="M41" r:id="rId8" display="../../../../../../../../:f:/s/DTI-20151005_QTMP/IgAnc2ql6ZkHTJNYpfI3XAcQAelbfeHoMNfdJsEWisydo4U?e=1nwnv8" xr:uid="{1EB1626A-0BDB-44BD-95C3-4CE03179DE29}"/>
    <hyperlink ref="N23" r:id="rId9" display="../../../../../../../../:f:/s/DTI-20151005_QTMP/IgBTb9L0aVaPRZTWpBMRRfBiAR-K1xvWVeTeTqGqOWpyC50?e=xm8pzW" xr:uid="{F2AAFAA0-4964-4DF5-895A-D2056956BB6D}"/>
    <hyperlink ref="M23" r:id="rId10" display="../../../../../../../../:f:/s/DTI-20151005_QTMP/IgA840Qca9fdS4js3Nh932QpAWiAN2fTdcQQqu18IGtWfAg?e=4AhGhg" xr:uid="{617B6134-5866-4190-B8DE-2CE05D9D819D}"/>
    <hyperlink ref="M24" r:id="rId11" display="../../../../../../../../:f:/s/DTI-20151005_QTMP/IgBCu3ERju4oQKtmH1KfWknPAb8yNZ-ZuptASHTMDHPVq7E?e=Jmk0Gg" xr:uid="{424C79E9-E8FF-4060-A04A-E4A77B5C149A}"/>
    <hyperlink ref="M25" r:id="rId12" display="../../../../../../../../:f:/s/DTI-20151005_QTMP/IgCeNg-uicevRq2xd7hNZdoFAfFNbJd2DArHVhGnw_2H6IE?e=Kdv3br" xr:uid="{E8F158B6-2FC6-4E17-BC98-E3ACDCB40FFF}"/>
    <hyperlink ref="N25" r:id="rId13" display="../../../../../../../../:f:/s/DTI-20151005_QTMP/IgBTb9L0aVaPRZTWpBMRRfBiAR-K1xvWVeTeTqGqOWpyC50?e=xm8pzW" xr:uid="{14B3D1BE-C5BA-4D02-B8A9-AF4A0BCC90DB}"/>
    <hyperlink ref="N26" r:id="rId14" display="../../../../../../../../:f:/s/DTI-20151005_QTMP/IgBTb9L0aVaPRZTWpBMRRfBiAR-K1xvWVeTeTqGqOWpyC50?e=xm8pzW" xr:uid="{455AC3BA-6F49-46D6-8010-43D54E4A1445}"/>
    <hyperlink ref="N27" r:id="rId15" display="../../../../../../../../:f:/s/DTI-20151005_QTMP/IgBTb9L0aVaPRZTWpBMRRfBiAR-K1xvWVeTeTqGqOWpyC50?e=xm8pzW" xr:uid="{6BFF85C7-08FE-4185-A734-2DB3115885A8}"/>
    <hyperlink ref="M28" r:id="rId16" display="../../../../../../../../:f:/s/DTI-20151005_QTMP/IgBTb9L0aVaPRZTWpBMRRfBiAR-K1xvWVeTeTqGqOWpyC50?e=xm8pzW" xr:uid="{5C17D775-1521-4099-8B70-FE891489A01D}"/>
    <hyperlink ref="M29" r:id="rId17" display="../../../../../../../../:f:/s/DTI-20151005_QTMP/IgBTb9L0aVaPRZTWpBMRRfBiAR-K1xvWVeTeTqGqOWpyC50?e=xm8pzW" xr:uid="{DA7CF3BB-87D0-4C03-9B2D-BEF30AEEFC24}"/>
    <hyperlink ref="M30" r:id="rId18" display="../../../../../../../../:f:/s/DTI-20151005_QTMP/IgCeNg-uicevRq2xd7hNZdoFAfFNbJd2DArHVhGnw_2H6IE?e=Kdv3br" xr:uid="{63CED529-0789-4EAC-802A-9CA7D9AADD5B}"/>
    <hyperlink ref="N30" r:id="rId19" display="../../../../../../../../:f:/s/DTI-20151005_QTMP/IgBTb9L0aVaPRZTWpBMRRfBiAR-K1xvWVeTeTqGqOWpyC50?e=xm8pzW" xr:uid="{B4A8F26F-7980-4E54-BC6C-A9F83E138B42}"/>
    <hyperlink ref="N34" r:id="rId20" display="../../../../../../../../:f:/s/DTI-20151005_QTMP/IgBTb9L0aVaPRZTWpBMRRfBiAR-K1xvWVeTeTqGqOWpyC50?e=xm8pzW" xr:uid="{BEAA279F-F958-44CC-B03D-04DDAB2943A5}"/>
    <hyperlink ref="M34" r:id="rId21" display="../../../../../../../../:f:/s/DTI-20151005_QTMP/IgA840Qca9fdS4js3Nh932QpAWiAN2fTdcQQqu18IGtWfAg?e=4AhGhg" xr:uid="{B922E02D-C272-49EA-A5C0-D26BAEBE481E}"/>
    <hyperlink ref="M36" r:id="rId22" display="../../../../../../../../:f:/s/DTI-20151005_QTMP/IgBTb9L0aVaPRZTWpBMRRfBiAR-K1xvWVeTeTqGqOWpyC50?e=xm8pzW" xr:uid="{B65D4F3E-6C75-49AE-8022-03467D77223B}"/>
    <hyperlink ref="M37" r:id="rId23" display="../../../../../../../../:f:/s/DTI-20151005_QTMP/IgBTb9L0aVaPRZTWpBMRRfBiAR-K1xvWVeTeTqGqOWpyC50?e=xm8pzW" xr:uid="{7675CD06-8E2C-497B-B508-2A1C3A18F5D5}"/>
    <hyperlink ref="M38" r:id="rId24" display="../../../../../../../../:f:/s/DTI-20151005_QTMP/IgBTb9L0aVaPRZTWpBMRRfBiAR-K1xvWVeTeTqGqOWpyC50?e=xm8pzW" xr:uid="{92827C5B-7266-4116-9711-0E461339CC2A}"/>
    <hyperlink ref="M39" r:id="rId25" display="../../../../../../../../:f:/s/DTI-20151005_QTMP/IgBGZj5MLchaS6NVszzoGHqnAewLHBIlkPWA3E314zHnqYY?e=rWf9HS" xr:uid="{0C4F0DE6-10AE-4F76-8A92-F40042E849BF}"/>
    <hyperlink ref="M40" r:id="rId26" display="../../../../../../../../:f:/s/DTI-20151005_QTMP/IgCeNg-uicevRq2xd7hNZdoFAfFNbJd2DArHVhGnw_2H6IE?e=Kdv3br" xr:uid="{34F019C6-8E0B-42CA-80B5-2693BC00C7D6}"/>
    <hyperlink ref="N40" r:id="rId27" display="../../../../../../../../:f:/s/DTI-20151005_QTMP/IgBTb9L0aVaPRZTWpBMRRfBiAR-K1xvWVeTeTqGqOWpyC50?e=xm8pzW" xr:uid="{335E0C6F-9A3A-4F0A-B3C6-9891A9BEFD23}"/>
    <hyperlink ref="N41" r:id="rId28" display="../../../../../../../../:f:/s/DTI-20151005_QTMP/IgBTb9L0aVaPRZTWpBMRRfBiAR-K1xvWVeTeTqGqOWpyC50?e=xm8pzW" xr:uid="{988EE4DF-D5B7-46B2-9785-E30B5D0838E9}"/>
    <hyperlink ref="M42" r:id="rId29" display="../../../../../../../../:f:/s/DTI-20151005_QTMP/IgBTb9L0aVaPRZTWpBMRRfBiAR-K1xvWVeTeTqGqOWpyC50?e=xm8pzW" xr:uid="{A01B3A42-F9E2-4C30-99B9-4A94412386E3}"/>
    <hyperlink ref="M43" r:id="rId30" display="../../../../../../../../:f:/s/DTI-20151005_QTMP/IgBTb9L0aVaPRZTWpBMRRfBiAR-K1xvWVeTeTqGqOWpyC50?e=xm8pzW" xr:uid="{FF1A029B-A58D-4A25-9316-59F6776FA22D}"/>
    <hyperlink ref="M44" r:id="rId31" display="../../../../../../../../:f:/s/DTI-20151005_QTMP/IgBTb9L0aVaPRZTWpBMRRfBiAR-K1xvWVeTeTqGqOWpyC50?e=xm8pzW" xr:uid="{A50183B6-A311-4E91-B631-01524377FAC7}"/>
  </hyperlinks>
  <printOptions horizontalCentered="1"/>
  <pageMargins left="0.59055118110236227" right="0.59055118110236227" top="1.2598425196850394" bottom="0.74803149606299213" header="0.51181102362204722" footer="0.31496062992125984"/>
  <pageSetup paperSize="9" fitToHeight="0" orientation="landscape" r:id="rId32"/>
  <headerFooter>
    <oddHeader>&amp;L&amp;G&amp;R&amp;"Arial,Bold"&amp;16Enviromental Compliance Obigations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33"/>
  <legacyDrawingHF r:id="rId34"/>
  <extLst>
    <ext xmlns:x14="http://schemas.microsoft.com/office/spreadsheetml/2009/9/main" uri="{78C0D931-6437-407d-A8EE-F0AAD7539E65}">
      <x14:conditionalFormattings>
        <x14:conditionalFormatting xmlns:xm="http://schemas.microsoft.com/office/excel/2006/main">
          <x14:cfRule type="containsText" priority="10" operator="containsText" id="{C7AEF3F2-38A4-40B4-A0C2-D48A0409068C}">
            <xm:f>NOT(ISERROR(SEARCH(Summary!$A$25,H6)))</xm:f>
            <xm:f>Summary!$A$25</xm:f>
            <x14:dxf>
              <fill>
                <patternFill>
                  <bgColor theme="9" tint="0.59996337778862885"/>
                </patternFill>
              </fill>
            </x14:dxf>
          </x14:cfRule>
          <x14:cfRule type="containsText" priority="11" operator="containsText" id="{0E2315C9-96DF-4726-8DAD-777CDFE1155F}">
            <xm:f>NOT(ISERROR(SEARCH(Summary!$A$24,H6)))</xm:f>
            <xm:f>Summary!$A$24</xm:f>
            <x14:dxf>
              <fill>
                <patternFill>
                  <bgColor rgb="FFFFC7CE"/>
                </patternFill>
              </fill>
            </x14:dxf>
          </x14:cfRule>
          <x14:cfRule type="containsText" priority="12" operator="containsText" id="{ECE577A4-7006-4927-AB17-4F4FD89CF5A6}">
            <xm:f>NOT(ISERROR(SEARCH(Summary!$A$23,H6)))</xm:f>
            <xm:f>Summary!$A$23</xm:f>
            <x14:dxf>
              <fill>
                <patternFill>
                  <bgColor theme="9" tint="0.59996337778862885"/>
                </patternFill>
              </fill>
            </x14:dxf>
          </x14:cfRule>
          <x14:cfRule type="containsText" priority="13" operator="containsText" id="{5381B9DB-9569-486B-9964-C15F4D6F0F14}">
            <xm:f>NOT(ISERROR(SEARCH(Summary!$A$22,H6)))</xm:f>
            <xm:f>Summary!$A$22</xm:f>
            <x14:dxf>
              <fill>
                <patternFill>
                  <bgColor theme="7" tint="0.59996337778862885"/>
                </patternFill>
              </fill>
            </x14:dxf>
          </x14:cfRule>
          <x14:cfRule type="containsText" priority="14" operator="containsText" id="{4E71B2F0-5BC5-4365-A827-4238519E2119}">
            <xm:f>NOT(ISERROR(SEARCH(Summary!$A$21,H6)))</xm:f>
            <xm:f>Summary!$A$21</xm:f>
            <x14:dxf>
              <fill>
                <patternFill>
                  <bgColor rgb="FFFFC7CE"/>
                </patternFill>
              </fill>
            </x14:dxf>
          </x14:cfRule>
          <x14:cfRule type="containsText" priority="15" operator="containsText" id="{DF814340-4D0A-47A5-B332-CC8D2967261D}">
            <xm:f>NOT(ISERROR(SEARCH(Summary!$A$20,H6)))</xm:f>
            <xm:f>Summary!$A$20</xm:f>
            <x14:dxf>
              <fill>
                <patternFill>
                  <bgColor theme="7" tint="0.59996337778862885"/>
                </patternFill>
              </fill>
            </x14:dxf>
          </x14:cfRule>
          <x14:cfRule type="containsText" priority="16" operator="containsText" id="{1C1AB957-11F3-4267-A5D3-F014D1A3E51F}">
            <xm:f>NOT(ISERROR(SEARCH(Summary!$A$20,H6)))</xm:f>
            <xm:f>Summary!$A$20</xm:f>
            <x14:dxf>
              <fill>
                <patternFill>
                  <bgColor theme="7" tint="0.39994506668294322"/>
                </patternFill>
              </fill>
            </x14:dxf>
          </x14:cfRule>
          <x14:cfRule type="containsText" priority="17" operator="containsText" id="{ADCCEC49-630F-421D-88D2-B0A8BE16698E}">
            <xm:f>NOT(ISERROR(SEARCH(Summary!$A$20,H6)))</xm:f>
            <xm:f>Summary!$A$20</xm:f>
            <x14:dxf/>
          </x14:cfRule>
          <xm:sqref>H6:H19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prompt="Please select from the list" xr:uid="{DEF6F7F9-5CDA-4A24-B98A-E1EEF8708E3C}">
          <x14:formula1>
            <xm:f>Summary!$A$20:$A$25</xm:f>
          </x14:formula1>
          <xm:sqref>H6:H19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2EBF-6934-4ED9-8C71-1C214D55859C}">
  <sheetPr>
    <tabColor theme="7" tint="0.39997558519241921"/>
  </sheetPr>
  <dimension ref="A1"/>
  <sheetViews>
    <sheetView workbookViewId="0"/>
  </sheetViews>
  <sheetFormatPr defaultRowHeight="1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AC38-4CDC-B84E-85AF-B8C55BA288DF}">
  <sheetPr>
    <tabColor theme="7" tint="0.39997558519241921"/>
    <pageSetUpPr fitToPage="1"/>
  </sheetPr>
  <dimension ref="A2:L48"/>
  <sheetViews>
    <sheetView tabSelected="1" topLeftCell="A10" workbookViewId="0"/>
  </sheetViews>
  <sheetFormatPr defaultColWidth="11" defaultRowHeight="12"/>
  <cols>
    <col min="1" max="2" width="14.140625" style="1" customWidth="1"/>
    <col min="3" max="3" width="72.5703125" style="1" customWidth="1"/>
    <col min="4" max="4" width="28.140625" style="1" customWidth="1"/>
    <col min="5" max="5" width="51.5703125" style="1" customWidth="1"/>
    <col min="6" max="6" width="20.140625" style="1" customWidth="1"/>
    <col min="7" max="7" width="14.42578125" style="1" customWidth="1"/>
    <col min="8" max="8" width="20.140625" style="1" customWidth="1"/>
    <col min="9" max="10" width="13" style="1" customWidth="1"/>
    <col min="11" max="12" width="36" style="1" customWidth="1"/>
    <col min="13" max="16384" width="11" style="1"/>
  </cols>
  <sheetData>
    <row r="2" spans="1:12" ht="24.75">
      <c r="A2" s="202" t="s">
        <v>9</v>
      </c>
      <c r="B2" s="202"/>
      <c r="C2" s="202"/>
      <c r="D2" s="202"/>
      <c r="E2" s="202"/>
      <c r="F2" s="202"/>
      <c r="G2" s="202"/>
      <c r="H2" s="202"/>
      <c r="I2" s="202"/>
      <c r="J2" s="202"/>
      <c r="K2" s="202"/>
      <c r="L2" s="202"/>
    </row>
    <row r="4" spans="1:12" s="85" customFormat="1" ht="15">
      <c r="A4" s="203" t="s">
        <v>22</v>
      </c>
      <c r="B4" s="203"/>
      <c r="C4" s="203"/>
      <c r="D4" s="203"/>
      <c r="E4" s="203"/>
      <c r="F4" s="203"/>
      <c r="G4" s="203" t="s">
        <v>23</v>
      </c>
      <c r="H4" s="203"/>
      <c r="I4" s="203"/>
      <c r="J4" s="203" t="s">
        <v>24</v>
      </c>
      <c r="K4" s="203"/>
      <c r="L4" s="203"/>
    </row>
    <row r="5" spans="1:12" s="85" customFormat="1" ht="36">
      <c r="A5" s="86" t="s">
        <v>25</v>
      </c>
      <c r="B5" s="86" t="s">
        <v>26</v>
      </c>
      <c r="C5" s="86" t="s">
        <v>27</v>
      </c>
      <c r="D5" s="86" t="s">
        <v>28</v>
      </c>
      <c r="E5" s="86" t="s">
        <v>29</v>
      </c>
      <c r="F5" s="86" t="s">
        <v>30</v>
      </c>
      <c r="G5" s="86" t="s">
        <v>31</v>
      </c>
      <c r="H5" s="86" t="s">
        <v>32</v>
      </c>
      <c r="I5" s="86" t="s">
        <v>33</v>
      </c>
      <c r="J5" s="86" t="s">
        <v>24</v>
      </c>
      <c r="K5" s="86" t="s">
        <v>34</v>
      </c>
      <c r="L5" s="86" t="s">
        <v>35</v>
      </c>
    </row>
    <row r="6" spans="1:12" ht="60">
      <c r="A6" s="87" t="s">
        <v>259</v>
      </c>
      <c r="B6" s="87" t="s">
        <v>66</v>
      </c>
      <c r="C6" s="97" t="s">
        <v>434</v>
      </c>
      <c r="D6" s="87" t="s">
        <v>435</v>
      </c>
      <c r="E6" s="87" t="s">
        <v>436</v>
      </c>
      <c r="F6" s="90" t="s">
        <v>437</v>
      </c>
      <c r="G6" s="35"/>
      <c r="H6" s="36"/>
      <c r="I6" s="37"/>
      <c r="J6" s="35"/>
      <c r="K6" s="32"/>
      <c r="L6" s="32"/>
    </row>
    <row r="7" spans="1:12" ht="246" customHeight="1">
      <c r="A7" s="87" t="s">
        <v>259</v>
      </c>
      <c r="B7" s="87" t="s">
        <v>66</v>
      </c>
      <c r="C7" s="97" t="s">
        <v>438</v>
      </c>
      <c r="D7" s="87" t="s">
        <v>435</v>
      </c>
      <c r="E7" s="90" t="s">
        <v>437</v>
      </c>
      <c r="F7" s="90" t="s">
        <v>437</v>
      </c>
      <c r="G7" s="35"/>
      <c r="H7" s="36"/>
      <c r="I7" s="37"/>
      <c r="J7" s="35"/>
      <c r="K7" s="32"/>
      <c r="L7" s="32"/>
    </row>
    <row r="8" spans="1:12" ht="96">
      <c r="A8" s="87" t="s">
        <v>259</v>
      </c>
      <c r="B8" s="87" t="s">
        <v>66</v>
      </c>
      <c r="C8" s="87" t="s">
        <v>439</v>
      </c>
      <c r="D8" s="87" t="s">
        <v>440</v>
      </c>
      <c r="E8" s="90" t="s">
        <v>437</v>
      </c>
      <c r="F8" s="90" t="s">
        <v>437</v>
      </c>
      <c r="G8" s="35"/>
      <c r="H8" s="36"/>
      <c r="I8" s="37"/>
      <c r="J8" s="35"/>
      <c r="K8" s="32"/>
      <c r="L8" s="32"/>
    </row>
    <row r="9" spans="1:12" ht="144">
      <c r="A9" s="89" t="s">
        <v>259</v>
      </c>
      <c r="B9" s="89" t="s">
        <v>158</v>
      </c>
      <c r="C9" s="89" t="s">
        <v>441</v>
      </c>
      <c r="D9" s="87" t="s">
        <v>440</v>
      </c>
      <c r="E9" s="87" t="s">
        <v>442</v>
      </c>
      <c r="F9" s="89" t="s">
        <v>443</v>
      </c>
      <c r="G9" s="30" t="s">
        <v>20</v>
      </c>
      <c r="H9" s="11"/>
      <c r="I9" s="15"/>
      <c r="J9" s="30"/>
      <c r="K9" s="18"/>
      <c r="L9" s="19"/>
    </row>
    <row r="10" spans="1:12" ht="144">
      <c r="A10" s="93" t="s">
        <v>259</v>
      </c>
      <c r="B10" s="89" t="s">
        <v>66</v>
      </c>
      <c r="C10" s="89" t="s">
        <v>444</v>
      </c>
      <c r="D10" s="87" t="s">
        <v>440</v>
      </c>
      <c r="E10" s="87" t="s">
        <v>442</v>
      </c>
      <c r="F10" s="89" t="s">
        <v>443</v>
      </c>
      <c r="G10" s="30" t="s">
        <v>21</v>
      </c>
      <c r="H10" s="16"/>
      <c r="I10" s="17"/>
      <c r="J10" s="30"/>
      <c r="K10" s="20"/>
      <c r="L10" s="21"/>
    </row>
    <row r="11" spans="1:12" ht="240">
      <c r="A11" s="93" t="s">
        <v>259</v>
      </c>
      <c r="B11" s="89" t="s">
        <v>158</v>
      </c>
      <c r="C11" s="89" t="s">
        <v>445</v>
      </c>
      <c r="D11" s="87" t="s">
        <v>440</v>
      </c>
      <c r="E11" s="96" t="s">
        <v>446</v>
      </c>
      <c r="F11" s="89" t="s">
        <v>71</v>
      </c>
      <c r="G11" s="30" t="s">
        <v>21</v>
      </c>
      <c r="H11" s="16"/>
      <c r="I11" s="17"/>
      <c r="J11" s="30"/>
      <c r="K11" s="20"/>
      <c r="L11" s="21"/>
    </row>
    <row r="12" spans="1:12" ht="84">
      <c r="A12" s="93" t="s">
        <v>259</v>
      </c>
      <c r="B12" s="89" t="s">
        <v>66</v>
      </c>
      <c r="C12" s="89" t="s">
        <v>447</v>
      </c>
      <c r="D12" s="87" t="s">
        <v>440</v>
      </c>
      <c r="E12" s="89" t="s">
        <v>448</v>
      </c>
      <c r="F12" s="89" t="s">
        <v>449</v>
      </c>
      <c r="G12" s="30" t="s">
        <v>21</v>
      </c>
      <c r="H12" s="16"/>
      <c r="I12" s="17"/>
      <c r="J12" s="30"/>
      <c r="K12" s="20"/>
      <c r="L12" s="21"/>
    </row>
    <row r="13" spans="1:12" ht="48">
      <c r="A13" s="93" t="s">
        <v>259</v>
      </c>
      <c r="B13" s="89" t="s">
        <v>66</v>
      </c>
      <c r="C13" s="98" t="s">
        <v>450</v>
      </c>
      <c r="D13" s="88" t="s">
        <v>451</v>
      </c>
      <c r="E13" s="89" t="s">
        <v>452</v>
      </c>
      <c r="F13" s="89" t="s">
        <v>449</v>
      </c>
      <c r="G13" s="30"/>
      <c r="H13" s="16"/>
      <c r="I13" s="17"/>
      <c r="J13" s="30"/>
      <c r="K13" s="20"/>
      <c r="L13" s="21"/>
    </row>
    <row r="14" spans="1:12" ht="48">
      <c r="A14" s="93" t="s">
        <v>259</v>
      </c>
      <c r="B14" s="89" t="s">
        <v>66</v>
      </c>
      <c r="C14" s="96" t="s">
        <v>453</v>
      </c>
      <c r="D14" s="88" t="s">
        <v>454</v>
      </c>
      <c r="E14" s="87" t="s">
        <v>455</v>
      </c>
      <c r="F14" s="89" t="s">
        <v>71</v>
      </c>
      <c r="G14" s="30"/>
      <c r="H14" s="16"/>
      <c r="I14" s="17"/>
      <c r="J14" s="30"/>
      <c r="K14" s="20"/>
      <c r="L14" s="21"/>
    </row>
    <row r="15" spans="1:12" ht="132">
      <c r="A15" s="93" t="s">
        <v>259</v>
      </c>
      <c r="B15" s="89" t="s">
        <v>66</v>
      </c>
      <c r="C15" s="89" t="s">
        <v>456</v>
      </c>
      <c r="D15" s="88" t="s">
        <v>457</v>
      </c>
      <c r="E15" s="89" t="s">
        <v>458</v>
      </c>
      <c r="F15" s="89" t="s">
        <v>459</v>
      </c>
      <c r="G15" s="30" t="s">
        <v>21</v>
      </c>
      <c r="H15" s="16"/>
      <c r="I15" s="17"/>
      <c r="J15" s="30"/>
      <c r="K15" s="20"/>
      <c r="L15" s="21"/>
    </row>
    <row r="16" spans="1:12" ht="48">
      <c r="A16" s="93" t="s">
        <v>259</v>
      </c>
      <c r="B16" s="89" t="s">
        <v>66</v>
      </c>
      <c r="C16" s="89" t="s">
        <v>460</v>
      </c>
      <c r="D16" s="88" t="s">
        <v>457</v>
      </c>
      <c r="E16" s="89" t="s">
        <v>461</v>
      </c>
      <c r="F16" s="89" t="s">
        <v>462</v>
      </c>
      <c r="G16" s="30" t="s">
        <v>21</v>
      </c>
      <c r="H16" s="16"/>
      <c r="I16" s="17"/>
      <c r="J16" s="30"/>
      <c r="K16" s="20"/>
      <c r="L16" s="21"/>
    </row>
    <row r="17" spans="1:12" ht="168">
      <c r="A17" s="93" t="s">
        <v>259</v>
      </c>
      <c r="B17" s="89" t="s">
        <v>158</v>
      </c>
      <c r="C17" s="89" t="s">
        <v>463</v>
      </c>
      <c r="D17" s="88" t="s">
        <v>457</v>
      </c>
      <c r="E17" s="89" t="s">
        <v>446</v>
      </c>
      <c r="F17" s="89" t="s">
        <v>71</v>
      </c>
      <c r="G17" s="30" t="s">
        <v>21</v>
      </c>
      <c r="H17" s="16"/>
      <c r="I17" s="17"/>
      <c r="J17" s="30"/>
      <c r="K17" s="20"/>
      <c r="L17" s="21"/>
    </row>
    <row r="18" spans="1:12" ht="120">
      <c r="A18" s="93" t="s">
        <v>259</v>
      </c>
      <c r="B18" s="89" t="s">
        <v>66</v>
      </c>
      <c r="C18" s="89" t="s">
        <v>464</v>
      </c>
      <c r="D18" s="88" t="s">
        <v>457</v>
      </c>
      <c r="E18" s="89" t="s">
        <v>448</v>
      </c>
      <c r="F18" s="89" t="s">
        <v>449</v>
      </c>
      <c r="G18" s="30" t="s">
        <v>21</v>
      </c>
      <c r="H18" s="16"/>
      <c r="I18" s="17"/>
      <c r="J18" s="30"/>
      <c r="K18" s="20"/>
      <c r="L18" s="21"/>
    </row>
    <row r="19" spans="1:12" ht="180">
      <c r="A19" s="93" t="s">
        <v>259</v>
      </c>
      <c r="B19" s="89" t="s">
        <v>66</v>
      </c>
      <c r="C19" s="89" t="s">
        <v>465</v>
      </c>
      <c r="D19" s="88" t="s">
        <v>457</v>
      </c>
      <c r="E19" s="89" t="s">
        <v>452</v>
      </c>
      <c r="F19" s="89" t="s">
        <v>449</v>
      </c>
      <c r="G19" s="30" t="s">
        <v>21</v>
      </c>
      <c r="H19" s="16"/>
      <c r="I19" s="17"/>
      <c r="J19" s="30"/>
      <c r="K19" s="20"/>
      <c r="L19" s="21"/>
    </row>
    <row r="20" spans="1:12">
      <c r="A20" s="80"/>
      <c r="B20" s="79"/>
      <c r="C20" s="79"/>
      <c r="D20" s="79"/>
      <c r="E20" s="79"/>
      <c r="F20" s="79"/>
      <c r="G20" s="30"/>
      <c r="H20" s="16"/>
      <c r="I20" s="17"/>
      <c r="J20" s="30"/>
      <c r="K20" s="20"/>
      <c r="L20" s="21"/>
    </row>
    <row r="21" spans="1:12">
      <c r="A21" s="80"/>
      <c r="B21" s="79"/>
      <c r="C21" s="79"/>
      <c r="D21" s="79"/>
      <c r="E21" s="79"/>
      <c r="F21" s="79"/>
      <c r="G21" s="30"/>
      <c r="H21" s="16"/>
      <c r="I21" s="17"/>
      <c r="J21" s="30"/>
      <c r="K21" s="20"/>
      <c r="L21" s="21"/>
    </row>
    <row r="22" spans="1:12">
      <c r="A22" s="80"/>
      <c r="B22" s="79"/>
      <c r="C22" s="79"/>
      <c r="D22" s="79"/>
      <c r="E22" s="79"/>
      <c r="F22" s="79"/>
      <c r="G22" s="30"/>
      <c r="H22" s="16"/>
      <c r="I22" s="17"/>
      <c r="J22" s="30"/>
      <c r="K22" s="20"/>
      <c r="L22" s="21"/>
    </row>
    <row r="23" spans="1:12">
      <c r="A23" s="80"/>
      <c r="B23" s="79"/>
      <c r="C23" s="79"/>
      <c r="D23" s="79"/>
      <c r="E23" s="79"/>
      <c r="F23" s="79"/>
      <c r="G23" s="30"/>
      <c r="H23" s="16"/>
      <c r="I23" s="17"/>
      <c r="J23" s="30"/>
      <c r="K23" s="20"/>
      <c r="L23" s="21"/>
    </row>
    <row r="24" spans="1:12">
      <c r="A24" s="80"/>
      <c r="B24" s="79"/>
      <c r="C24" s="79"/>
      <c r="D24" s="79"/>
      <c r="E24" s="79"/>
      <c r="F24" s="79"/>
      <c r="G24" s="30"/>
      <c r="H24" s="16"/>
      <c r="I24" s="17"/>
      <c r="J24" s="30"/>
      <c r="K24" s="20"/>
      <c r="L24" s="21"/>
    </row>
    <row r="25" spans="1:12">
      <c r="A25" s="80"/>
      <c r="B25" s="79"/>
      <c r="C25" s="79"/>
      <c r="D25" s="79"/>
      <c r="E25" s="79"/>
      <c r="F25" s="79"/>
      <c r="G25" s="30"/>
      <c r="H25" s="16"/>
      <c r="I25" s="17"/>
      <c r="J25" s="30"/>
      <c r="K25" s="20"/>
      <c r="L25" s="21"/>
    </row>
    <row r="26" spans="1:12">
      <c r="A26" s="80"/>
      <c r="B26" s="79"/>
      <c r="C26" s="79"/>
      <c r="D26" s="79"/>
      <c r="E26" s="79"/>
      <c r="F26" s="79"/>
      <c r="G26" s="30"/>
      <c r="H26" s="16"/>
      <c r="I26" s="17"/>
      <c r="J26" s="30"/>
      <c r="K26" s="20"/>
      <c r="L26" s="21"/>
    </row>
    <row r="27" spans="1:12">
      <c r="A27" s="80"/>
      <c r="B27" s="79"/>
      <c r="C27" s="79"/>
      <c r="D27" s="79"/>
      <c r="E27" s="79"/>
      <c r="F27" s="79"/>
      <c r="G27" s="30"/>
      <c r="H27" s="16"/>
      <c r="I27" s="17"/>
      <c r="J27" s="30"/>
      <c r="K27" s="20"/>
      <c r="L27" s="21"/>
    </row>
    <row r="28" spans="1:12">
      <c r="A28" s="80"/>
      <c r="B28" s="79"/>
      <c r="C28" s="79"/>
      <c r="D28" s="79"/>
      <c r="E28" s="79"/>
      <c r="F28" s="79"/>
      <c r="G28" s="30"/>
      <c r="H28" s="16"/>
      <c r="I28" s="17"/>
      <c r="J28" s="30"/>
      <c r="K28" s="20"/>
      <c r="L28" s="21"/>
    </row>
    <row r="29" spans="1:12">
      <c r="A29" s="80"/>
      <c r="B29" s="79"/>
      <c r="C29" s="79"/>
      <c r="D29" s="79"/>
      <c r="E29" s="79"/>
      <c r="F29" s="79"/>
      <c r="G29" s="30"/>
      <c r="H29" s="16"/>
      <c r="I29" s="17"/>
      <c r="J29" s="30"/>
      <c r="K29" s="20"/>
      <c r="L29" s="21"/>
    </row>
    <row r="30" spans="1:12">
      <c r="A30" s="80"/>
      <c r="B30" s="79"/>
      <c r="C30" s="79"/>
      <c r="D30" s="79"/>
      <c r="E30" s="79"/>
      <c r="F30" s="79"/>
      <c r="G30" s="30"/>
      <c r="H30" s="16"/>
      <c r="I30" s="17"/>
      <c r="J30" s="30"/>
      <c r="K30" s="20"/>
      <c r="L30" s="21"/>
    </row>
    <row r="31" spans="1:12">
      <c r="A31" s="80"/>
      <c r="B31" s="79"/>
      <c r="C31" s="79"/>
      <c r="D31" s="79"/>
      <c r="E31" s="79"/>
      <c r="F31" s="79"/>
      <c r="G31" s="30"/>
      <c r="H31" s="16"/>
      <c r="I31" s="17"/>
      <c r="J31" s="30"/>
      <c r="K31" s="20"/>
      <c r="L31" s="21"/>
    </row>
    <row r="32" spans="1:12">
      <c r="A32" s="80"/>
      <c r="B32" s="79"/>
      <c r="C32" s="79"/>
      <c r="D32" s="79"/>
      <c r="E32" s="79"/>
      <c r="F32" s="79"/>
      <c r="G32" s="30"/>
      <c r="H32" s="16"/>
      <c r="I32" s="17"/>
      <c r="J32" s="30"/>
      <c r="K32" s="20"/>
      <c r="L32" s="21"/>
    </row>
    <row r="33" spans="1:12">
      <c r="A33" s="80"/>
      <c r="B33" s="79"/>
      <c r="C33" s="79"/>
      <c r="D33" s="79"/>
      <c r="E33" s="79"/>
      <c r="F33" s="79"/>
      <c r="G33" s="30"/>
      <c r="H33" s="16"/>
      <c r="I33" s="17"/>
      <c r="J33" s="30"/>
      <c r="K33" s="20"/>
      <c r="L33" s="21"/>
    </row>
    <row r="34" spans="1:12">
      <c r="A34" s="80"/>
      <c r="B34" s="79"/>
      <c r="C34" s="79"/>
      <c r="D34" s="79"/>
      <c r="E34" s="79"/>
      <c r="F34" s="79"/>
      <c r="G34" s="30"/>
      <c r="H34" s="16"/>
      <c r="I34" s="17"/>
      <c r="J34" s="30"/>
      <c r="K34" s="20"/>
      <c r="L34" s="21"/>
    </row>
    <row r="35" spans="1:12">
      <c r="A35" s="80"/>
      <c r="B35" s="79"/>
      <c r="C35" s="79"/>
      <c r="D35" s="79"/>
      <c r="E35" s="79"/>
      <c r="F35" s="79"/>
      <c r="G35" s="30"/>
      <c r="H35" s="16"/>
      <c r="I35" s="17"/>
      <c r="J35" s="30"/>
      <c r="K35" s="20"/>
      <c r="L35" s="21"/>
    </row>
    <row r="36" spans="1:12">
      <c r="A36" s="80"/>
      <c r="B36" s="79"/>
      <c r="C36" s="79"/>
      <c r="D36" s="79"/>
      <c r="E36" s="79"/>
      <c r="F36" s="79"/>
      <c r="G36" s="30"/>
      <c r="H36" s="16"/>
      <c r="I36" s="17"/>
      <c r="J36" s="30"/>
      <c r="K36" s="20"/>
      <c r="L36" s="21"/>
    </row>
    <row r="37" spans="1:12">
      <c r="A37" s="80"/>
      <c r="B37" s="79"/>
      <c r="C37" s="79"/>
      <c r="D37" s="79"/>
      <c r="E37" s="79"/>
      <c r="F37" s="79"/>
      <c r="G37" s="30"/>
      <c r="H37" s="16"/>
      <c r="I37" s="17"/>
      <c r="J37" s="30"/>
      <c r="K37" s="20"/>
      <c r="L37" s="21"/>
    </row>
    <row r="38" spans="1:12">
      <c r="A38" s="80"/>
      <c r="B38" s="79"/>
      <c r="C38" s="79"/>
      <c r="D38" s="79"/>
      <c r="E38" s="79"/>
      <c r="F38" s="79"/>
      <c r="G38" s="30"/>
      <c r="H38" s="16"/>
      <c r="I38" s="17"/>
      <c r="J38" s="30"/>
      <c r="K38" s="20"/>
      <c r="L38" s="21"/>
    </row>
    <row r="39" spans="1:12">
      <c r="A39" s="80"/>
      <c r="B39" s="79"/>
      <c r="C39" s="79"/>
      <c r="D39" s="79"/>
      <c r="E39" s="79"/>
      <c r="F39" s="79"/>
      <c r="G39" s="30"/>
      <c r="H39" s="16"/>
      <c r="I39" s="17"/>
      <c r="J39" s="30"/>
      <c r="K39" s="20"/>
      <c r="L39" s="21"/>
    </row>
    <row r="40" spans="1:12">
      <c r="A40" s="80"/>
      <c r="B40" s="79"/>
      <c r="C40" s="79"/>
      <c r="D40" s="79"/>
      <c r="E40" s="79"/>
      <c r="F40" s="79"/>
      <c r="G40" s="30"/>
      <c r="H40" s="16"/>
      <c r="I40" s="17"/>
      <c r="J40" s="30"/>
      <c r="K40" s="20"/>
      <c r="L40" s="21"/>
    </row>
    <row r="41" spans="1:12">
      <c r="A41" s="80"/>
      <c r="B41" s="79"/>
      <c r="C41" s="79"/>
      <c r="D41" s="79"/>
      <c r="E41" s="79"/>
      <c r="F41" s="79"/>
      <c r="G41" s="30"/>
      <c r="H41" s="16"/>
      <c r="I41" s="17"/>
      <c r="J41" s="30"/>
      <c r="K41" s="20"/>
      <c r="L41" s="21"/>
    </row>
    <row r="42" spans="1:12">
      <c r="A42" s="80"/>
      <c r="B42" s="79"/>
      <c r="C42" s="79"/>
      <c r="D42" s="79"/>
      <c r="E42" s="79"/>
      <c r="F42" s="79"/>
      <c r="G42" s="30"/>
      <c r="H42" s="16"/>
      <c r="I42" s="17"/>
      <c r="J42" s="30"/>
      <c r="K42" s="20"/>
      <c r="L42" s="21"/>
    </row>
    <row r="43" spans="1:12">
      <c r="A43" s="80"/>
      <c r="B43" s="79"/>
      <c r="C43" s="79"/>
      <c r="D43" s="79"/>
      <c r="E43" s="79"/>
      <c r="F43" s="79"/>
      <c r="G43" s="30"/>
      <c r="H43" s="16"/>
      <c r="I43" s="17"/>
      <c r="J43" s="30"/>
      <c r="K43" s="20"/>
      <c r="L43" s="21"/>
    </row>
    <row r="44" spans="1:12">
      <c r="A44" s="80"/>
      <c r="B44" s="79"/>
      <c r="C44" s="79"/>
      <c r="D44" s="79"/>
      <c r="E44" s="79"/>
      <c r="F44" s="79"/>
      <c r="G44" s="30"/>
      <c r="H44" s="16"/>
      <c r="I44" s="17"/>
      <c r="J44" s="30"/>
      <c r="K44" s="20"/>
      <c r="L44" s="21"/>
    </row>
    <row r="45" spans="1:12">
      <c r="A45" s="80"/>
      <c r="B45" s="79"/>
      <c r="C45" s="79"/>
      <c r="D45" s="79"/>
      <c r="E45" s="79"/>
      <c r="F45" s="79"/>
      <c r="G45" s="30"/>
      <c r="H45" s="16"/>
      <c r="I45" s="17"/>
      <c r="J45" s="30"/>
      <c r="K45" s="20"/>
      <c r="L45" s="21"/>
    </row>
    <row r="46" spans="1:12">
      <c r="A46" s="80"/>
      <c r="B46" s="79"/>
      <c r="C46" s="79"/>
      <c r="D46" s="79"/>
      <c r="E46" s="79"/>
      <c r="F46" s="79"/>
      <c r="G46" s="30"/>
      <c r="H46" s="16"/>
      <c r="I46" s="17"/>
      <c r="J46" s="30"/>
      <c r="K46" s="20"/>
      <c r="L46" s="21"/>
    </row>
    <row r="47" spans="1:12">
      <c r="A47" s="80"/>
      <c r="B47" s="79"/>
      <c r="C47" s="79"/>
      <c r="D47" s="79"/>
      <c r="E47" s="79"/>
      <c r="F47" s="79"/>
      <c r="G47" s="30"/>
      <c r="H47" s="16"/>
      <c r="I47" s="17"/>
      <c r="J47" s="30"/>
      <c r="K47" s="20"/>
      <c r="L47" s="21"/>
    </row>
    <row r="48" spans="1:12">
      <c r="A48" s="80"/>
      <c r="B48" s="79"/>
      <c r="C48" s="79"/>
      <c r="D48" s="79"/>
      <c r="E48" s="79"/>
      <c r="F48" s="79"/>
      <c r="G48" s="30"/>
      <c r="H48" s="16"/>
      <c r="I48" s="17"/>
      <c r="J48" s="30"/>
      <c r="K48" s="20"/>
      <c r="L48" s="21"/>
    </row>
  </sheetData>
  <autoFilter ref="A5:L5" xr:uid="{EAF9F12B-6DB0-4681-8E8E-7BC640BCB124}"/>
  <mergeCells count="4">
    <mergeCell ref="A2:L2"/>
    <mergeCell ref="A4:F4"/>
    <mergeCell ref="G4:I4"/>
    <mergeCell ref="J4:L4"/>
  </mergeCells>
  <conditionalFormatting sqref="A4 G4 J5:J48">
    <cfRule type="cellIs" dxfId="73" priority="13" operator="equal">
      <formula>"Overdue"</formula>
    </cfRule>
    <cfRule type="cellIs" dxfId="72" priority="14" operator="equal">
      <formula>"In Progress"</formula>
    </cfRule>
    <cfRule type="cellIs" dxfId="71" priority="15" operator="equal">
      <formula>"Completed"</formula>
    </cfRule>
  </conditionalFormatting>
  <conditionalFormatting sqref="A5:I5">
    <cfRule type="cellIs" dxfId="70" priority="1" operator="equal">
      <formula>"Overdue"</formula>
    </cfRule>
    <cfRule type="cellIs" dxfId="69" priority="2" operator="equal">
      <formula>"In Progress"</formula>
    </cfRule>
    <cfRule type="cellIs" dxfId="68" priority="3" operator="equal">
      <formula>"Completed"</formula>
    </cfRule>
  </conditionalFormatting>
  <conditionalFormatting sqref="G6:G48">
    <cfRule type="containsText" dxfId="67" priority="16" operator="containsText" text="D">
      <formula>NOT(ISERROR(SEARCH("D",G6)))</formula>
    </cfRule>
    <cfRule type="containsText" dxfId="66" priority="17" operator="containsText" text="C">
      <formula>NOT(ISERROR(SEARCH("C",G6)))</formula>
    </cfRule>
    <cfRule type="containsText" dxfId="65" priority="18" operator="containsText" text="B">
      <formula>NOT(ISERROR(SEARCH("B",G6)))</formula>
    </cfRule>
    <cfRule type="cellIs" dxfId="64" priority="19" operator="equal">
      <formula>"A"</formula>
    </cfRule>
  </conditionalFormatting>
  <conditionalFormatting sqref="J6:J48">
    <cfRule type="colorScale" priority="129">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44" fitToHeight="0" orientation="landscape" r:id="rId1"/>
  <headerFooter>
    <oddHeader>&amp;L&amp;G&amp;R&amp;"Arial,Bold"&amp;16Environmental Compliance Obligations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121" operator="containsText" id="{9AD3437C-BA40-6345-BFDD-14A8AB6BAB86}">
            <xm:f>NOT(ISERROR(SEARCH(Summary!$A$25,J6)))</xm:f>
            <xm:f>Summary!$A$25</xm:f>
            <x14:dxf>
              <fill>
                <patternFill>
                  <bgColor theme="9" tint="0.59996337778862885"/>
                </patternFill>
              </fill>
            </x14:dxf>
          </x14:cfRule>
          <x14:cfRule type="containsText" priority="122" operator="containsText" id="{FDC0082C-C828-944F-A26A-37A594DE1F49}">
            <xm:f>NOT(ISERROR(SEARCH(Summary!$A$24,J6)))</xm:f>
            <xm:f>Summary!$A$24</xm:f>
            <x14:dxf>
              <fill>
                <patternFill>
                  <bgColor rgb="FFFFC7CE"/>
                </patternFill>
              </fill>
            </x14:dxf>
          </x14:cfRule>
          <x14:cfRule type="containsText" priority="123" operator="containsText" id="{2F286EB4-5153-BB4C-A5C2-05528E93E0EC}">
            <xm:f>NOT(ISERROR(SEARCH(Summary!$A$23,J6)))</xm:f>
            <xm:f>Summary!$A$23</xm:f>
            <x14:dxf>
              <fill>
                <patternFill>
                  <bgColor theme="9" tint="0.59996337778862885"/>
                </patternFill>
              </fill>
            </x14:dxf>
          </x14:cfRule>
          <x14:cfRule type="containsText" priority="124" operator="containsText" id="{A64A989F-4B8E-824D-8D81-0129AC478454}">
            <xm:f>NOT(ISERROR(SEARCH(Summary!$A$22,J6)))</xm:f>
            <xm:f>Summary!$A$22</xm:f>
            <x14:dxf>
              <fill>
                <patternFill>
                  <bgColor theme="7" tint="0.59996337778862885"/>
                </patternFill>
              </fill>
            </x14:dxf>
          </x14:cfRule>
          <x14:cfRule type="containsText" priority="125" operator="containsText" id="{B9915E74-6BF5-DD4B-877D-6758E61F461D}">
            <xm:f>NOT(ISERROR(SEARCH(Summary!$A$21,J6)))</xm:f>
            <xm:f>Summary!$A$21</xm:f>
            <x14:dxf>
              <fill>
                <patternFill>
                  <bgColor rgb="FFFFC7CE"/>
                </patternFill>
              </fill>
            </x14:dxf>
          </x14:cfRule>
          <x14:cfRule type="containsText" priority="126" operator="containsText" id="{07546FD9-7002-6047-8244-4007301E907C}">
            <xm:f>NOT(ISERROR(SEARCH(Summary!$A$20,J6)))</xm:f>
            <xm:f>Summary!$A$20</xm:f>
            <x14:dxf>
              <fill>
                <patternFill>
                  <bgColor theme="7" tint="0.59996337778862885"/>
                </patternFill>
              </fill>
            </x14:dxf>
          </x14:cfRule>
          <x14:cfRule type="containsText" priority="127" operator="containsText" id="{E92F138D-9BD4-6946-AF2D-416A418CC33A}">
            <xm:f>NOT(ISERROR(SEARCH(Summary!$A$20,J6)))</xm:f>
            <xm:f>Summary!$A$20</xm:f>
            <x14:dxf>
              <fill>
                <patternFill>
                  <bgColor theme="7" tint="0.39994506668294322"/>
                </patternFill>
              </fill>
            </x14:dxf>
          </x14:cfRule>
          <x14:cfRule type="containsText" priority="128" operator="containsText" id="{57272B50-3559-8042-B1C2-EC74DA755968}">
            <xm:f>NOT(ISERROR(SEARCH(Summary!$A$20,J6)))</xm:f>
            <xm:f>Summary!$A$20</xm:f>
            <x14:dxf/>
          </x14:cfRule>
          <xm:sqref>J6:J48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Please select from the list" xr:uid="{533E891E-A1FF-0640-BD11-BF71070583EE}">
          <x14:formula1>
            <xm:f>Summary!$A$20:$A$25</xm:f>
          </x14:formula1>
          <xm:sqref>J8:J22</xm:sqref>
        </x14:dataValidation>
        <x14:dataValidation type="list" allowBlank="1" showInputMessage="1" showErrorMessage="1" prompt="Please select from the list" xr:uid="{4DC34DED-EEED-744E-A3C7-42A5FB962B3C}">
          <x14:formula1>
            <xm:f>Instructions!$C$30:$C$33</xm:f>
          </x14:formula1>
          <xm:sqref>G8:G22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D710-3A0B-B34E-8FBA-8F6746A8562A}">
  <sheetPr>
    <tabColor theme="7" tint="0.39997558519241921"/>
    <pageSetUpPr fitToPage="1"/>
  </sheetPr>
  <dimension ref="A2:L8"/>
  <sheetViews>
    <sheetView workbookViewId="0"/>
  </sheetViews>
  <sheetFormatPr defaultColWidth="11" defaultRowHeight="12"/>
  <cols>
    <col min="1" max="2" width="14.140625" style="1" customWidth="1"/>
    <col min="3" max="3" width="77.5703125" style="1" customWidth="1"/>
    <col min="4" max="4" width="25.140625" style="1" customWidth="1"/>
    <col min="5" max="5" width="30.140625" style="1" customWidth="1"/>
    <col min="6" max="6" width="20.140625" style="1" customWidth="1"/>
    <col min="7" max="7" width="14.42578125" style="1" customWidth="1"/>
    <col min="8" max="8" width="20.140625" style="1" customWidth="1"/>
    <col min="9" max="10" width="13" style="1" customWidth="1"/>
    <col min="11" max="12" width="24.85546875" style="1" customWidth="1"/>
    <col min="13" max="16384" width="11" style="1"/>
  </cols>
  <sheetData>
    <row r="2" spans="1:12" ht="24.75">
      <c r="A2" s="202" t="s">
        <v>9</v>
      </c>
      <c r="B2" s="202"/>
      <c r="C2" s="202"/>
      <c r="D2" s="202"/>
      <c r="E2" s="202"/>
      <c r="F2" s="202"/>
      <c r="G2" s="202"/>
      <c r="H2" s="202"/>
      <c r="I2" s="202"/>
      <c r="J2" s="202"/>
      <c r="K2" s="202"/>
      <c r="L2" s="202"/>
    </row>
    <row r="4" spans="1:12" s="85" customFormat="1" ht="15">
      <c r="A4" s="203" t="s">
        <v>22</v>
      </c>
      <c r="B4" s="203"/>
      <c r="C4" s="203"/>
      <c r="D4" s="203"/>
      <c r="E4" s="203"/>
      <c r="F4" s="203"/>
      <c r="G4" s="203" t="s">
        <v>23</v>
      </c>
      <c r="H4" s="203"/>
      <c r="I4" s="203"/>
      <c r="J4" s="203" t="s">
        <v>24</v>
      </c>
      <c r="K4" s="203"/>
      <c r="L4" s="203"/>
    </row>
    <row r="5" spans="1:12" s="85" customFormat="1" ht="36">
      <c r="A5" s="86" t="s">
        <v>25</v>
      </c>
      <c r="B5" s="86" t="s">
        <v>26</v>
      </c>
      <c r="C5" s="86" t="s">
        <v>27</v>
      </c>
      <c r="D5" s="86" t="s">
        <v>28</v>
      </c>
      <c r="E5" s="86" t="s">
        <v>29</v>
      </c>
      <c r="F5" s="86" t="s">
        <v>30</v>
      </c>
      <c r="G5" s="86" t="s">
        <v>31</v>
      </c>
      <c r="H5" s="86" t="s">
        <v>32</v>
      </c>
      <c r="I5" s="86" t="s">
        <v>33</v>
      </c>
      <c r="J5" s="86" t="s">
        <v>24</v>
      </c>
      <c r="K5" s="86" t="s">
        <v>34</v>
      </c>
      <c r="L5" s="86" t="s">
        <v>35</v>
      </c>
    </row>
    <row r="6" spans="1:12" ht="72">
      <c r="A6" s="87" t="s">
        <v>259</v>
      </c>
      <c r="B6" s="87" t="s">
        <v>158</v>
      </c>
      <c r="C6" s="87" t="s">
        <v>466</v>
      </c>
      <c r="D6" s="87" t="s">
        <v>467</v>
      </c>
      <c r="E6" s="94" t="s">
        <v>326</v>
      </c>
      <c r="F6" s="89" t="s">
        <v>327</v>
      </c>
      <c r="G6" s="35" t="s">
        <v>21</v>
      </c>
      <c r="H6" s="36"/>
      <c r="I6" s="37"/>
      <c r="J6" s="35"/>
      <c r="K6" s="32"/>
      <c r="L6" s="32"/>
    </row>
    <row r="7" spans="1:12" ht="72">
      <c r="A7" s="87" t="s">
        <v>259</v>
      </c>
      <c r="B7" s="87" t="s">
        <v>158</v>
      </c>
      <c r="C7" s="87" t="s">
        <v>468</v>
      </c>
      <c r="D7" s="87" t="s">
        <v>469</v>
      </c>
      <c r="E7" s="94" t="s">
        <v>326</v>
      </c>
      <c r="F7" s="89" t="s">
        <v>327</v>
      </c>
      <c r="G7" s="35" t="s">
        <v>21</v>
      </c>
      <c r="H7" s="11"/>
      <c r="I7" s="15"/>
      <c r="J7" s="30"/>
      <c r="K7" s="18"/>
      <c r="L7" s="19"/>
    </row>
    <row r="8" spans="1:12" ht="300">
      <c r="A8" s="87" t="s">
        <v>259</v>
      </c>
      <c r="B8" s="87" t="s">
        <v>158</v>
      </c>
      <c r="C8" s="89" t="s">
        <v>470</v>
      </c>
      <c r="D8" s="87" t="s">
        <v>471</v>
      </c>
      <c r="E8" s="94" t="s">
        <v>326</v>
      </c>
      <c r="F8" s="89" t="s">
        <v>327</v>
      </c>
      <c r="G8" s="35" t="s">
        <v>21</v>
      </c>
      <c r="H8" s="16"/>
      <c r="I8" s="17"/>
      <c r="J8" s="30"/>
      <c r="K8" s="20"/>
      <c r="L8" s="21"/>
    </row>
  </sheetData>
  <autoFilter ref="A5:L5" xr:uid="{EAF9F12B-6DB0-4681-8E8E-7BC640BCB124}"/>
  <mergeCells count="4">
    <mergeCell ref="A2:L2"/>
    <mergeCell ref="A4:F4"/>
    <mergeCell ref="G4:I4"/>
    <mergeCell ref="J4:L4"/>
  </mergeCells>
  <conditionalFormatting sqref="A4 G4 J5:J8">
    <cfRule type="cellIs" dxfId="56" priority="13" operator="equal">
      <formula>"Overdue"</formula>
    </cfRule>
    <cfRule type="cellIs" dxfId="55" priority="14" operator="equal">
      <formula>"In Progress"</formula>
    </cfRule>
    <cfRule type="cellIs" dxfId="54" priority="15" operator="equal">
      <formula>"Completed"</formula>
    </cfRule>
  </conditionalFormatting>
  <conditionalFormatting sqref="A5:I5">
    <cfRule type="cellIs" dxfId="53" priority="1" operator="equal">
      <formula>"Overdue"</formula>
    </cfRule>
    <cfRule type="cellIs" dxfId="52" priority="2" operator="equal">
      <formula>"In Progress"</formula>
    </cfRule>
    <cfRule type="cellIs" dxfId="51" priority="3" operator="equal">
      <formula>"Completed"</formula>
    </cfRule>
  </conditionalFormatting>
  <conditionalFormatting sqref="G6:G8">
    <cfRule type="containsText" dxfId="50" priority="16" operator="containsText" text="D">
      <formula>NOT(ISERROR(SEARCH("D",G6)))</formula>
    </cfRule>
    <cfRule type="containsText" dxfId="49" priority="17" operator="containsText" text="C">
      <formula>NOT(ISERROR(SEARCH("C",G6)))</formula>
    </cfRule>
    <cfRule type="containsText" dxfId="48" priority="18" operator="containsText" text="B">
      <formula>NOT(ISERROR(SEARCH("B",G6)))</formula>
    </cfRule>
    <cfRule type="cellIs" dxfId="47" priority="19" operator="equal">
      <formula>"A"</formula>
    </cfRule>
  </conditionalFormatting>
  <conditionalFormatting sqref="J6:J8">
    <cfRule type="colorScale" priority="285">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51" fitToHeight="0" orientation="landscape" r:id="rId1"/>
  <headerFooter>
    <oddHeader>&amp;L&amp;G&amp;R&amp;"Arial,Bold"&amp;16Environmental Compliance Obligations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277" operator="containsText" id="{C9E81082-65F5-F24B-9845-E27703406710}">
            <xm:f>NOT(ISERROR(SEARCH(Summary!$A$25,J6)))</xm:f>
            <xm:f>Summary!$A$25</xm:f>
            <x14:dxf>
              <fill>
                <patternFill>
                  <bgColor theme="9" tint="0.59996337778862885"/>
                </patternFill>
              </fill>
            </x14:dxf>
          </x14:cfRule>
          <x14:cfRule type="containsText" priority="278" operator="containsText" id="{49A40B4C-2A07-9D45-8887-752D65185161}">
            <xm:f>NOT(ISERROR(SEARCH(Summary!$A$24,J6)))</xm:f>
            <xm:f>Summary!$A$24</xm:f>
            <x14:dxf>
              <fill>
                <patternFill>
                  <bgColor rgb="FFFFC7CE"/>
                </patternFill>
              </fill>
            </x14:dxf>
          </x14:cfRule>
          <x14:cfRule type="containsText" priority="279" operator="containsText" id="{C2E4BF5C-6DDA-7041-A1E0-3F70CC025A5C}">
            <xm:f>NOT(ISERROR(SEARCH(Summary!$A$23,J6)))</xm:f>
            <xm:f>Summary!$A$23</xm:f>
            <x14:dxf>
              <fill>
                <patternFill>
                  <bgColor theme="9" tint="0.59996337778862885"/>
                </patternFill>
              </fill>
            </x14:dxf>
          </x14:cfRule>
          <x14:cfRule type="containsText" priority="280" operator="containsText" id="{B17CDDF0-23E3-0C4D-B74F-41438A8E4E97}">
            <xm:f>NOT(ISERROR(SEARCH(Summary!$A$22,J6)))</xm:f>
            <xm:f>Summary!$A$22</xm:f>
            <x14:dxf>
              <fill>
                <patternFill>
                  <bgColor theme="7" tint="0.59996337778862885"/>
                </patternFill>
              </fill>
            </x14:dxf>
          </x14:cfRule>
          <x14:cfRule type="containsText" priority="281" operator="containsText" id="{169CB8B9-9382-B748-AA60-D6073A5D1EC0}">
            <xm:f>NOT(ISERROR(SEARCH(Summary!$A$21,J6)))</xm:f>
            <xm:f>Summary!$A$21</xm:f>
            <x14:dxf>
              <fill>
                <patternFill>
                  <bgColor rgb="FFFFC7CE"/>
                </patternFill>
              </fill>
            </x14:dxf>
          </x14:cfRule>
          <x14:cfRule type="containsText" priority="282" operator="containsText" id="{EAF13C2D-C822-9F41-BB2A-259BE31F0937}">
            <xm:f>NOT(ISERROR(SEARCH(Summary!$A$20,J6)))</xm:f>
            <xm:f>Summary!$A$20</xm:f>
            <x14:dxf>
              <fill>
                <patternFill>
                  <bgColor theme="7" tint="0.59996337778862885"/>
                </patternFill>
              </fill>
            </x14:dxf>
          </x14:cfRule>
          <x14:cfRule type="containsText" priority="283" operator="containsText" id="{6129265A-5E51-184D-BFA2-2473AA4E8FA1}">
            <xm:f>NOT(ISERROR(SEARCH(Summary!$A$20,J6)))</xm:f>
            <xm:f>Summary!$A$20</xm:f>
            <x14:dxf>
              <fill>
                <patternFill>
                  <bgColor theme="7" tint="0.39994506668294322"/>
                </patternFill>
              </fill>
            </x14:dxf>
          </x14:cfRule>
          <x14:cfRule type="containsText" priority="284" operator="containsText" id="{30A42E35-933F-4A4E-97F4-F52E80887013}">
            <xm:f>NOT(ISERROR(SEARCH(Summary!$A$20,J6)))</xm:f>
            <xm:f>Summary!$A$20</xm:f>
            <x14:dxf/>
          </x14:cfRule>
          <xm:sqref>J6:J8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Please select from the list" xr:uid="{3A77C35D-0636-894A-93FE-27401726860A}">
          <x14:formula1>
            <xm:f>Instructions!$C$30:$C$33</xm:f>
          </x14:formula1>
          <xm:sqref>G6:G8</xm:sqref>
        </x14:dataValidation>
        <x14:dataValidation type="list" allowBlank="1" showInputMessage="1" showErrorMessage="1" prompt="Please select from the list" xr:uid="{CAE316E1-7178-F843-9F4E-C2AC2A0065C6}">
          <x14:formula1>
            <xm:f>Summary!$A$20:$A$25</xm:f>
          </x14:formula1>
          <xm:sqref>J6:J8</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39997558519241921"/>
    <pageSetUpPr fitToPage="1"/>
  </sheetPr>
  <dimension ref="A2:L37"/>
  <sheetViews>
    <sheetView workbookViewId="0"/>
  </sheetViews>
  <sheetFormatPr defaultColWidth="11" defaultRowHeight="12"/>
  <cols>
    <col min="1" max="1" width="14.42578125" style="1" customWidth="1"/>
    <col min="2" max="2" width="14.140625" style="1" customWidth="1"/>
    <col min="3" max="3" width="85.85546875" style="1" customWidth="1"/>
    <col min="4" max="4" width="34.42578125" style="1" customWidth="1"/>
    <col min="5" max="5" width="48.85546875" style="1" customWidth="1"/>
    <col min="6" max="6" width="20.140625" style="1" customWidth="1"/>
    <col min="7" max="7" width="14.42578125" style="1" customWidth="1"/>
    <col min="8" max="8" width="20.140625" style="1" customWidth="1"/>
    <col min="9" max="10" width="13" style="1" customWidth="1"/>
    <col min="11" max="11" width="35.85546875" style="1" customWidth="1"/>
    <col min="12" max="12" width="27.85546875" style="1" customWidth="1"/>
    <col min="13" max="16384" width="11" style="1"/>
  </cols>
  <sheetData>
    <row r="2" spans="1:12" ht="24.75">
      <c r="A2" s="202" t="s">
        <v>9</v>
      </c>
      <c r="B2" s="202"/>
      <c r="C2" s="202"/>
      <c r="D2" s="202"/>
      <c r="E2" s="202"/>
      <c r="F2" s="202"/>
      <c r="G2" s="202"/>
      <c r="H2" s="202"/>
      <c r="I2" s="202"/>
      <c r="J2" s="202"/>
      <c r="K2" s="202"/>
      <c r="L2" s="202"/>
    </row>
    <row r="4" spans="1:12" s="85" customFormat="1" ht="15">
      <c r="A4" s="203" t="s">
        <v>22</v>
      </c>
      <c r="B4" s="203"/>
      <c r="C4" s="203"/>
      <c r="D4" s="203"/>
      <c r="E4" s="203"/>
      <c r="F4" s="203"/>
      <c r="G4" s="203" t="s">
        <v>23</v>
      </c>
      <c r="H4" s="203"/>
      <c r="I4" s="203"/>
      <c r="J4" s="203" t="s">
        <v>24</v>
      </c>
      <c r="K4" s="203"/>
      <c r="L4" s="203"/>
    </row>
    <row r="5" spans="1:12" s="85" customFormat="1" ht="24">
      <c r="A5" s="86" t="s">
        <v>25</v>
      </c>
      <c r="B5" s="86" t="s">
        <v>26</v>
      </c>
      <c r="C5" s="86" t="s">
        <v>27</v>
      </c>
      <c r="D5" s="86" t="s">
        <v>28</v>
      </c>
      <c r="E5" s="86" t="s">
        <v>29</v>
      </c>
      <c r="F5" s="86" t="s">
        <v>30</v>
      </c>
      <c r="G5" s="86" t="s">
        <v>31</v>
      </c>
      <c r="H5" s="86" t="s">
        <v>32</v>
      </c>
      <c r="I5" s="86" t="s">
        <v>33</v>
      </c>
      <c r="J5" s="86" t="s">
        <v>24</v>
      </c>
      <c r="K5" s="86" t="s">
        <v>34</v>
      </c>
      <c r="L5" s="86" t="s">
        <v>35</v>
      </c>
    </row>
    <row r="6" spans="1:12" ht="312">
      <c r="A6" s="87" t="s">
        <v>259</v>
      </c>
      <c r="B6" s="87" t="s">
        <v>259</v>
      </c>
      <c r="C6" s="88" t="s">
        <v>472</v>
      </c>
      <c r="D6" s="88" t="s">
        <v>473</v>
      </c>
      <c r="E6" s="88" t="s">
        <v>474</v>
      </c>
      <c r="F6" s="89" t="s">
        <v>459</v>
      </c>
      <c r="G6" s="35" t="s">
        <v>21</v>
      </c>
      <c r="H6" s="36"/>
      <c r="I6" s="37"/>
      <c r="J6" s="35"/>
      <c r="K6" s="32"/>
      <c r="L6" s="32"/>
    </row>
    <row r="7" spans="1:12" ht="108">
      <c r="A7" s="87" t="s">
        <v>259</v>
      </c>
      <c r="B7" s="87" t="s">
        <v>134</v>
      </c>
      <c r="C7" s="87" t="s">
        <v>475</v>
      </c>
      <c r="D7" s="87" t="s">
        <v>476</v>
      </c>
      <c r="E7" s="89" t="s">
        <v>477</v>
      </c>
      <c r="F7" s="89" t="s">
        <v>459</v>
      </c>
      <c r="G7" s="35" t="s">
        <v>20</v>
      </c>
      <c r="H7" s="36"/>
      <c r="I7" s="37"/>
      <c r="J7" s="35"/>
      <c r="K7" s="32"/>
      <c r="L7" s="32"/>
    </row>
    <row r="8" spans="1:12" ht="96">
      <c r="A8" s="87" t="s">
        <v>259</v>
      </c>
      <c r="B8" s="87" t="s">
        <v>134</v>
      </c>
      <c r="C8" s="87" t="s">
        <v>478</v>
      </c>
      <c r="D8" s="87" t="s">
        <v>476</v>
      </c>
      <c r="E8" s="88" t="s">
        <v>479</v>
      </c>
      <c r="F8" s="89" t="s">
        <v>459</v>
      </c>
      <c r="G8" s="35" t="s">
        <v>21</v>
      </c>
      <c r="H8" s="36"/>
      <c r="I8" s="37"/>
      <c r="J8" s="35"/>
      <c r="K8" s="32"/>
      <c r="L8" s="32"/>
    </row>
    <row r="9" spans="1:12" ht="72">
      <c r="A9" s="87" t="s">
        <v>259</v>
      </c>
      <c r="B9" s="87" t="s">
        <v>134</v>
      </c>
      <c r="C9" s="87" t="s">
        <v>480</v>
      </c>
      <c r="D9" s="87" t="s">
        <v>476</v>
      </c>
      <c r="E9" s="88" t="s">
        <v>481</v>
      </c>
      <c r="F9" s="89" t="s">
        <v>459</v>
      </c>
      <c r="G9" s="35" t="s">
        <v>21</v>
      </c>
      <c r="H9" s="36"/>
      <c r="I9" s="37"/>
      <c r="J9" s="35"/>
      <c r="K9" s="32"/>
      <c r="L9" s="32"/>
    </row>
    <row r="10" spans="1:12" ht="120">
      <c r="A10" s="87" t="s">
        <v>259</v>
      </c>
      <c r="B10" s="87" t="s">
        <v>134</v>
      </c>
      <c r="C10" s="87" t="s">
        <v>482</v>
      </c>
      <c r="D10" s="87" t="s">
        <v>483</v>
      </c>
      <c r="E10" s="88" t="s">
        <v>484</v>
      </c>
      <c r="F10" s="89" t="s">
        <v>459</v>
      </c>
      <c r="G10" s="35" t="s">
        <v>21</v>
      </c>
      <c r="H10" s="36"/>
      <c r="I10" s="37"/>
      <c r="J10" s="35"/>
      <c r="K10" s="32"/>
      <c r="L10" s="32"/>
    </row>
    <row r="11" spans="1:12" ht="48">
      <c r="A11" s="87" t="s">
        <v>259</v>
      </c>
      <c r="B11" s="87" t="s">
        <v>134</v>
      </c>
      <c r="C11" s="87" t="s">
        <v>485</v>
      </c>
      <c r="D11" s="87" t="s">
        <v>486</v>
      </c>
      <c r="E11" s="90" t="s">
        <v>487</v>
      </c>
      <c r="F11" s="90" t="s">
        <v>437</v>
      </c>
      <c r="G11" s="35" t="s">
        <v>21</v>
      </c>
      <c r="H11" s="36"/>
      <c r="I11" s="37"/>
      <c r="J11" s="35"/>
      <c r="K11" s="32"/>
      <c r="L11" s="32"/>
    </row>
    <row r="12" spans="1:12" ht="144">
      <c r="A12" s="87" t="s">
        <v>259</v>
      </c>
      <c r="B12" s="87" t="s">
        <v>134</v>
      </c>
      <c r="C12" s="87" t="s">
        <v>488</v>
      </c>
      <c r="D12" s="87" t="s">
        <v>489</v>
      </c>
      <c r="E12" s="87" t="s">
        <v>490</v>
      </c>
      <c r="F12" s="89" t="s">
        <v>459</v>
      </c>
      <c r="G12" s="35" t="s">
        <v>21</v>
      </c>
      <c r="H12" s="36"/>
      <c r="I12" s="37"/>
      <c r="J12" s="35"/>
      <c r="K12" s="32"/>
      <c r="L12" s="32"/>
    </row>
    <row r="13" spans="1:12" ht="60">
      <c r="A13" s="87" t="s">
        <v>259</v>
      </c>
      <c r="B13" s="87" t="s">
        <v>134</v>
      </c>
      <c r="C13" s="87" t="s">
        <v>491</v>
      </c>
      <c r="D13" s="87" t="s">
        <v>492</v>
      </c>
      <c r="E13" s="91" t="s">
        <v>493</v>
      </c>
      <c r="F13" s="87" t="s">
        <v>71</v>
      </c>
      <c r="G13" s="35" t="s">
        <v>21</v>
      </c>
      <c r="H13" s="36"/>
      <c r="I13" s="37"/>
      <c r="J13" s="35"/>
      <c r="K13" s="32"/>
      <c r="L13" s="32"/>
    </row>
    <row r="14" spans="1:12" ht="48">
      <c r="A14" s="87" t="s">
        <v>259</v>
      </c>
      <c r="B14" s="87" t="s">
        <v>66</v>
      </c>
      <c r="C14" s="89" t="s">
        <v>494</v>
      </c>
      <c r="D14" s="87" t="s">
        <v>492</v>
      </c>
      <c r="E14" s="91" t="s">
        <v>493</v>
      </c>
      <c r="F14" s="87" t="s">
        <v>71</v>
      </c>
      <c r="G14" s="35" t="s">
        <v>21</v>
      </c>
      <c r="H14" s="11"/>
      <c r="I14" s="15"/>
      <c r="J14" s="30"/>
      <c r="K14" s="18"/>
      <c r="L14" s="19"/>
    </row>
    <row r="15" spans="1:12" ht="60">
      <c r="A15" s="87" t="s">
        <v>259</v>
      </c>
      <c r="B15" s="87" t="s">
        <v>66</v>
      </c>
      <c r="C15" s="89" t="s">
        <v>495</v>
      </c>
      <c r="D15" s="87" t="s">
        <v>496</v>
      </c>
      <c r="E15" s="92" t="s">
        <v>437</v>
      </c>
      <c r="F15" s="90" t="s">
        <v>437</v>
      </c>
      <c r="G15" s="35" t="s">
        <v>21</v>
      </c>
      <c r="H15" s="16"/>
      <c r="I15" s="17"/>
      <c r="J15" s="30"/>
      <c r="K15" s="20"/>
      <c r="L15" s="21"/>
    </row>
    <row r="16" spans="1:12" ht="36">
      <c r="A16" s="93" t="s">
        <v>259</v>
      </c>
      <c r="B16" s="89" t="s">
        <v>66</v>
      </c>
      <c r="C16" s="89" t="s">
        <v>497</v>
      </c>
      <c r="D16" s="87" t="s">
        <v>498</v>
      </c>
      <c r="E16" s="91" t="s">
        <v>493</v>
      </c>
      <c r="F16" s="87" t="s">
        <v>71</v>
      </c>
      <c r="G16" s="35" t="s">
        <v>21</v>
      </c>
      <c r="H16" s="16"/>
      <c r="I16" s="17"/>
      <c r="J16" s="30"/>
      <c r="K16" s="20"/>
      <c r="L16" s="21"/>
    </row>
    <row r="17" spans="1:12" ht="48">
      <c r="A17" s="93" t="s">
        <v>259</v>
      </c>
      <c r="B17" s="89" t="s">
        <v>66</v>
      </c>
      <c r="C17" s="89" t="s">
        <v>499</v>
      </c>
      <c r="D17" s="87" t="s">
        <v>498</v>
      </c>
      <c r="E17" s="91" t="s">
        <v>493</v>
      </c>
      <c r="F17" s="87" t="s">
        <v>71</v>
      </c>
      <c r="G17" s="35" t="s">
        <v>21</v>
      </c>
      <c r="H17" s="16"/>
      <c r="I17" s="17"/>
      <c r="J17" s="30"/>
      <c r="K17" s="20"/>
      <c r="L17" s="21"/>
    </row>
    <row r="18" spans="1:12" ht="48">
      <c r="A18" s="93" t="s">
        <v>259</v>
      </c>
      <c r="B18" s="89" t="s">
        <v>66</v>
      </c>
      <c r="C18" s="89" t="s">
        <v>500</v>
      </c>
      <c r="D18" s="87" t="s">
        <v>498</v>
      </c>
      <c r="E18" s="89" t="s">
        <v>501</v>
      </c>
      <c r="F18" s="89" t="s">
        <v>459</v>
      </c>
      <c r="G18" s="35" t="s">
        <v>21</v>
      </c>
      <c r="H18" s="16"/>
      <c r="I18" s="17"/>
      <c r="J18" s="30"/>
      <c r="K18" s="20"/>
      <c r="L18" s="21"/>
    </row>
    <row r="19" spans="1:12" ht="48">
      <c r="A19" s="93" t="s">
        <v>259</v>
      </c>
      <c r="B19" s="89" t="s">
        <v>66</v>
      </c>
      <c r="C19" s="89" t="s">
        <v>502</v>
      </c>
      <c r="D19" s="87" t="s">
        <v>498</v>
      </c>
      <c r="E19" s="94" t="s">
        <v>503</v>
      </c>
      <c r="F19" s="89" t="s">
        <v>459</v>
      </c>
      <c r="G19" s="35" t="s">
        <v>21</v>
      </c>
      <c r="H19" s="16"/>
      <c r="I19" s="17"/>
      <c r="J19" s="30"/>
      <c r="K19" s="20"/>
      <c r="L19" s="21"/>
    </row>
    <row r="20" spans="1:12" ht="36">
      <c r="A20" s="93" t="s">
        <v>259</v>
      </c>
      <c r="B20" s="89" t="s">
        <v>66</v>
      </c>
      <c r="C20" s="89" t="s">
        <v>504</v>
      </c>
      <c r="D20" s="87" t="s">
        <v>498</v>
      </c>
      <c r="E20" s="94" t="s">
        <v>503</v>
      </c>
      <c r="F20" s="89" t="s">
        <v>459</v>
      </c>
      <c r="G20" s="35" t="s">
        <v>21</v>
      </c>
      <c r="H20" s="16"/>
      <c r="I20" s="17"/>
      <c r="J20" s="30"/>
      <c r="K20" s="20"/>
      <c r="L20" s="21"/>
    </row>
    <row r="21" spans="1:12" ht="144">
      <c r="A21" s="93" t="s">
        <v>259</v>
      </c>
      <c r="B21" s="89" t="s">
        <v>158</v>
      </c>
      <c r="C21" s="89" t="s">
        <v>505</v>
      </c>
      <c r="D21" s="87" t="s">
        <v>498</v>
      </c>
      <c r="E21" s="89" t="s">
        <v>506</v>
      </c>
      <c r="F21" s="89" t="s">
        <v>507</v>
      </c>
      <c r="G21" s="35" t="s">
        <v>21</v>
      </c>
      <c r="H21" s="16"/>
      <c r="I21" s="17"/>
      <c r="J21" s="30"/>
      <c r="K21" s="20"/>
      <c r="L21" s="21"/>
    </row>
    <row r="22" spans="1:12" ht="204">
      <c r="A22" s="93" t="s">
        <v>259</v>
      </c>
      <c r="B22" s="89" t="s">
        <v>158</v>
      </c>
      <c r="C22" s="89" t="s">
        <v>508</v>
      </c>
      <c r="D22" s="87" t="s">
        <v>498</v>
      </c>
      <c r="E22" s="89" t="s">
        <v>509</v>
      </c>
      <c r="F22" s="89" t="s">
        <v>507</v>
      </c>
      <c r="G22" s="35" t="s">
        <v>21</v>
      </c>
      <c r="H22" s="16"/>
      <c r="I22" s="17"/>
      <c r="J22" s="30"/>
      <c r="K22" s="20"/>
      <c r="L22" s="21"/>
    </row>
    <row r="23" spans="1:12" ht="132">
      <c r="A23" s="93" t="s">
        <v>259</v>
      </c>
      <c r="B23" s="89" t="s">
        <v>158</v>
      </c>
      <c r="C23" s="89" t="s">
        <v>510</v>
      </c>
      <c r="D23" s="87" t="s">
        <v>498</v>
      </c>
      <c r="E23" s="89" t="s">
        <v>511</v>
      </c>
      <c r="F23" s="89" t="s">
        <v>507</v>
      </c>
      <c r="G23" s="35" t="s">
        <v>21</v>
      </c>
      <c r="H23" s="16"/>
      <c r="I23" s="17"/>
      <c r="J23" s="30"/>
      <c r="K23" s="20"/>
      <c r="L23" s="21"/>
    </row>
    <row r="24" spans="1:12" ht="132">
      <c r="A24" s="93" t="s">
        <v>259</v>
      </c>
      <c r="B24" s="89" t="s">
        <v>158</v>
      </c>
      <c r="C24" s="89" t="s">
        <v>512</v>
      </c>
      <c r="D24" s="87" t="s">
        <v>498</v>
      </c>
      <c r="E24" s="89" t="s">
        <v>511</v>
      </c>
      <c r="F24" s="89" t="s">
        <v>507</v>
      </c>
      <c r="G24" s="35" t="s">
        <v>21</v>
      </c>
      <c r="H24" s="16"/>
      <c r="I24" s="17"/>
      <c r="J24" s="30"/>
      <c r="K24" s="20"/>
      <c r="L24" s="21"/>
    </row>
    <row r="25" spans="1:12" ht="264">
      <c r="A25" s="93" t="s">
        <v>259</v>
      </c>
      <c r="B25" s="89" t="s">
        <v>158</v>
      </c>
      <c r="C25" s="89" t="s">
        <v>513</v>
      </c>
      <c r="D25" s="87" t="s">
        <v>498</v>
      </c>
      <c r="E25" s="89" t="s">
        <v>511</v>
      </c>
      <c r="F25" s="89" t="s">
        <v>507</v>
      </c>
      <c r="G25" s="35" t="s">
        <v>21</v>
      </c>
      <c r="H25" s="16"/>
      <c r="I25" s="17"/>
      <c r="J25" s="30"/>
      <c r="K25" s="20"/>
      <c r="L25" s="21"/>
    </row>
    <row r="26" spans="1:12" ht="36">
      <c r="A26" s="93" t="s">
        <v>259</v>
      </c>
      <c r="B26" s="89" t="s">
        <v>158</v>
      </c>
      <c r="C26" s="89" t="s">
        <v>514</v>
      </c>
      <c r="D26" s="87" t="s">
        <v>515</v>
      </c>
      <c r="E26" s="94" t="s">
        <v>503</v>
      </c>
      <c r="F26" s="89" t="s">
        <v>459</v>
      </c>
      <c r="G26" s="35" t="s">
        <v>21</v>
      </c>
      <c r="H26" s="16"/>
      <c r="I26" s="17"/>
      <c r="J26" s="30"/>
      <c r="K26" s="20"/>
      <c r="L26" s="21"/>
    </row>
    <row r="27" spans="1:12" ht="36">
      <c r="A27" s="93" t="s">
        <v>259</v>
      </c>
      <c r="B27" s="89" t="s">
        <v>158</v>
      </c>
      <c r="C27" s="89" t="s">
        <v>516</v>
      </c>
      <c r="D27" s="87" t="s">
        <v>515</v>
      </c>
      <c r="E27" s="94" t="s">
        <v>503</v>
      </c>
      <c r="F27" s="89" t="s">
        <v>459</v>
      </c>
      <c r="G27" s="35" t="s">
        <v>21</v>
      </c>
      <c r="H27" s="16"/>
      <c r="I27" s="17"/>
      <c r="J27" s="30"/>
      <c r="K27" s="20"/>
      <c r="L27" s="21"/>
    </row>
    <row r="28" spans="1:12" ht="36">
      <c r="A28" s="93" t="s">
        <v>259</v>
      </c>
      <c r="B28" s="89" t="s">
        <v>158</v>
      </c>
      <c r="C28" s="89" t="s">
        <v>517</v>
      </c>
      <c r="D28" s="87" t="s">
        <v>515</v>
      </c>
      <c r="E28" s="94" t="s">
        <v>503</v>
      </c>
      <c r="F28" s="89" t="s">
        <v>459</v>
      </c>
      <c r="G28" s="35" t="s">
        <v>21</v>
      </c>
      <c r="H28" s="16"/>
      <c r="I28" s="17"/>
      <c r="J28" s="30"/>
      <c r="K28" s="20"/>
      <c r="L28" s="21"/>
    </row>
    <row r="29" spans="1:12" ht="36">
      <c r="A29" s="93" t="s">
        <v>259</v>
      </c>
      <c r="B29" s="89" t="s">
        <v>158</v>
      </c>
      <c r="C29" s="89" t="s">
        <v>518</v>
      </c>
      <c r="D29" s="87" t="s">
        <v>515</v>
      </c>
      <c r="E29" s="94" t="s">
        <v>503</v>
      </c>
      <c r="F29" s="89" t="s">
        <v>459</v>
      </c>
      <c r="G29" s="35" t="s">
        <v>21</v>
      </c>
      <c r="H29" s="16"/>
      <c r="I29" s="17"/>
      <c r="J29" s="30"/>
      <c r="K29" s="20"/>
      <c r="L29" s="21"/>
    </row>
    <row r="30" spans="1:12" ht="48">
      <c r="A30" s="93" t="s">
        <v>259</v>
      </c>
      <c r="B30" s="89" t="s">
        <v>158</v>
      </c>
      <c r="C30" s="89" t="s">
        <v>519</v>
      </c>
      <c r="D30" s="87" t="s">
        <v>515</v>
      </c>
      <c r="E30" s="94" t="s">
        <v>503</v>
      </c>
      <c r="F30" s="89" t="s">
        <v>459</v>
      </c>
      <c r="G30" s="35" t="s">
        <v>21</v>
      </c>
      <c r="H30" s="16"/>
      <c r="I30" s="17"/>
      <c r="J30" s="30"/>
      <c r="K30" s="20"/>
      <c r="L30" s="21"/>
    </row>
    <row r="31" spans="1:12" ht="36">
      <c r="A31" s="93" t="s">
        <v>259</v>
      </c>
      <c r="B31" s="89" t="s">
        <v>158</v>
      </c>
      <c r="C31" s="89" t="s">
        <v>520</v>
      </c>
      <c r="D31" s="87" t="s">
        <v>521</v>
      </c>
      <c r="E31" s="89" t="s">
        <v>522</v>
      </c>
      <c r="F31" s="89" t="s">
        <v>459</v>
      </c>
      <c r="G31" s="35" t="s">
        <v>20</v>
      </c>
      <c r="H31" s="16"/>
      <c r="I31" s="17"/>
      <c r="J31" s="30"/>
      <c r="K31" s="20"/>
      <c r="L31" s="21"/>
    </row>
    <row r="32" spans="1:12" ht="276">
      <c r="A32" s="93" t="s">
        <v>259</v>
      </c>
      <c r="B32" s="89" t="s">
        <v>158</v>
      </c>
      <c r="C32" s="89" t="s">
        <v>523</v>
      </c>
      <c r="D32" s="87" t="s">
        <v>521</v>
      </c>
      <c r="E32" s="89" t="s">
        <v>479</v>
      </c>
      <c r="F32" s="89" t="s">
        <v>459</v>
      </c>
      <c r="G32" s="35" t="s">
        <v>21</v>
      </c>
      <c r="H32" s="16"/>
      <c r="I32" s="17"/>
      <c r="J32" s="30"/>
      <c r="K32" s="20"/>
      <c r="L32" s="21"/>
    </row>
    <row r="33" spans="1:12" ht="108">
      <c r="A33" s="93" t="s">
        <v>259</v>
      </c>
      <c r="B33" s="89" t="s">
        <v>158</v>
      </c>
      <c r="C33" s="89" t="s">
        <v>524</v>
      </c>
      <c r="D33" s="87" t="s">
        <v>525</v>
      </c>
      <c r="E33" s="87" t="s">
        <v>526</v>
      </c>
      <c r="F33" s="89" t="s">
        <v>459</v>
      </c>
      <c r="G33" s="35" t="s">
        <v>20</v>
      </c>
      <c r="H33" s="16"/>
      <c r="I33" s="17"/>
      <c r="J33" s="30"/>
      <c r="K33" s="20"/>
      <c r="L33" s="21"/>
    </row>
    <row r="34" spans="1:12" ht="168">
      <c r="A34" s="93" t="s">
        <v>259</v>
      </c>
      <c r="B34" s="89" t="s">
        <v>158</v>
      </c>
      <c r="C34" s="89" t="s">
        <v>527</v>
      </c>
      <c r="D34" s="87" t="s">
        <v>525</v>
      </c>
      <c r="E34" s="87" t="s">
        <v>528</v>
      </c>
      <c r="F34" s="89" t="s">
        <v>459</v>
      </c>
      <c r="G34" s="35" t="s">
        <v>21</v>
      </c>
      <c r="H34" s="16"/>
      <c r="I34" s="17"/>
      <c r="J34" s="30"/>
      <c r="K34" s="20"/>
      <c r="L34" s="21"/>
    </row>
    <row r="35" spans="1:12" ht="192">
      <c r="A35" s="93" t="s">
        <v>259</v>
      </c>
      <c r="B35" s="89" t="s">
        <v>66</v>
      </c>
      <c r="C35" s="89" t="s">
        <v>529</v>
      </c>
      <c r="D35" s="89" t="s">
        <v>530</v>
      </c>
      <c r="E35" s="95" t="s">
        <v>531</v>
      </c>
      <c r="F35" s="89"/>
      <c r="G35" s="35" t="s">
        <v>21</v>
      </c>
      <c r="H35" s="16"/>
      <c r="I35" s="17"/>
      <c r="J35" s="30"/>
      <c r="K35" s="20"/>
      <c r="L35" s="21"/>
    </row>
    <row r="36" spans="1:12" ht="120">
      <c r="A36" s="93" t="s">
        <v>259</v>
      </c>
      <c r="B36" s="89" t="s">
        <v>158</v>
      </c>
      <c r="C36" s="89" t="s">
        <v>532</v>
      </c>
      <c r="D36" s="96" t="s">
        <v>533</v>
      </c>
      <c r="E36" s="89" t="s">
        <v>534</v>
      </c>
      <c r="F36" s="89" t="s">
        <v>459</v>
      </c>
      <c r="G36" s="35" t="s">
        <v>21</v>
      </c>
      <c r="H36" s="16"/>
      <c r="I36" s="17"/>
      <c r="J36" s="30"/>
      <c r="K36" s="20"/>
      <c r="L36" s="21"/>
    </row>
    <row r="37" spans="1:12" ht="132">
      <c r="A37" s="93" t="s">
        <v>259</v>
      </c>
      <c r="B37" s="89" t="s">
        <v>66</v>
      </c>
      <c r="C37" s="89" t="s">
        <v>535</v>
      </c>
      <c r="D37" s="96" t="s">
        <v>536</v>
      </c>
      <c r="E37" s="95" t="s">
        <v>531</v>
      </c>
      <c r="F37" s="89"/>
      <c r="G37" s="35" t="s">
        <v>21</v>
      </c>
      <c r="H37" s="16"/>
      <c r="I37" s="17"/>
      <c r="J37" s="30"/>
      <c r="K37" s="20"/>
      <c r="L37" s="21"/>
    </row>
  </sheetData>
  <autoFilter ref="A5:L5" xr:uid="{EAF9F12B-6DB0-4681-8E8E-7BC640BCB124}"/>
  <mergeCells count="4">
    <mergeCell ref="A2:L2"/>
    <mergeCell ref="J4:L4"/>
    <mergeCell ref="G4:I4"/>
    <mergeCell ref="A4:F4"/>
  </mergeCells>
  <conditionalFormatting sqref="A4 G4 J5:J37">
    <cfRule type="cellIs" dxfId="39" priority="14" operator="equal">
      <formula>"Overdue"</formula>
    </cfRule>
    <cfRule type="cellIs" dxfId="38" priority="15" operator="equal">
      <formula>"In Progress"</formula>
    </cfRule>
    <cfRule type="cellIs" dxfId="37" priority="16" operator="equal">
      <formula>"Completed"</formula>
    </cfRule>
  </conditionalFormatting>
  <conditionalFormatting sqref="A5:I5">
    <cfRule type="cellIs" dxfId="36" priority="1" operator="equal">
      <formula>"Overdue"</formula>
    </cfRule>
    <cfRule type="cellIs" dxfId="35" priority="2" operator="equal">
      <formula>"In Progress"</formula>
    </cfRule>
    <cfRule type="cellIs" dxfId="34" priority="3" operator="equal">
      <formula>"Completed"</formula>
    </cfRule>
  </conditionalFormatting>
  <conditionalFormatting sqref="G6:G37">
    <cfRule type="containsText" dxfId="33" priority="17" operator="containsText" text="D">
      <formula>NOT(ISERROR(SEARCH("D",G6)))</formula>
    </cfRule>
    <cfRule type="containsText" dxfId="32" priority="18" operator="containsText" text="C">
      <formula>NOT(ISERROR(SEARCH("C",G6)))</formula>
    </cfRule>
    <cfRule type="containsText" dxfId="31" priority="19" operator="containsText" text="B">
      <formula>NOT(ISERROR(SEARCH("B",G6)))</formula>
    </cfRule>
    <cfRule type="cellIs" dxfId="30" priority="20" operator="equal">
      <formula>"A"</formula>
    </cfRule>
  </conditionalFormatting>
  <conditionalFormatting sqref="J6:J37">
    <cfRule type="colorScale" priority="294">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43" fitToHeight="0" orientation="landscape" r:id="rId1"/>
  <headerFooter>
    <oddHeader>&amp;L&amp;G&amp;R&amp;"Arial,Bold"&amp;16Environmental Compliance Obligations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286" operator="containsText" id="{1EC06A67-D815-430E-A58B-52ACEBAA197D}">
            <xm:f>NOT(ISERROR(SEARCH(Summary!$A$25,J6)))</xm:f>
            <xm:f>Summary!$A$25</xm:f>
            <x14:dxf>
              <fill>
                <patternFill>
                  <bgColor theme="9" tint="0.59996337778862885"/>
                </patternFill>
              </fill>
            </x14:dxf>
          </x14:cfRule>
          <x14:cfRule type="containsText" priority="287" operator="containsText" id="{7C348633-14DC-4AE0-A961-51F9679300FA}">
            <xm:f>NOT(ISERROR(SEARCH(Summary!$A$24,J6)))</xm:f>
            <xm:f>Summary!$A$24</xm:f>
            <x14:dxf>
              <fill>
                <patternFill>
                  <bgColor rgb="FFFFC7CE"/>
                </patternFill>
              </fill>
            </x14:dxf>
          </x14:cfRule>
          <x14:cfRule type="containsText" priority="288" operator="containsText" id="{20F5E906-2540-4C99-A64E-4E84E81AE9C4}">
            <xm:f>NOT(ISERROR(SEARCH(Summary!$A$23,J6)))</xm:f>
            <xm:f>Summary!$A$23</xm:f>
            <x14:dxf>
              <fill>
                <patternFill>
                  <bgColor theme="9" tint="0.59996337778862885"/>
                </patternFill>
              </fill>
            </x14:dxf>
          </x14:cfRule>
          <x14:cfRule type="containsText" priority="289" operator="containsText" id="{DBB57620-5AFE-4C95-BBE6-A628329FEC9B}">
            <xm:f>NOT(ISERROR(SEARCH(Summary!$A$22,J6)))</xm:f>
            <xm:f>Summary!$A$22</xm:f>
            <x14:dxf>
              <fill>
                <patternFill>
                  <bgColor theme="7" tint="0.59996337778862885"/>
                </patternFill>
              </fill>
            </x14:dxf>
          </x14:cfRule>
          <x14:cfRule type="containsText" priority="290" operator="containsText" id="{110FEC53-3D83-445E-9780-A4BC0EE73BDA}">
            <xm:f>NOT(ISERROR(SEARCH(Summary!$A$21,J6)))</xm:f>
            <xm:f>Summary!$A$21</xm:f>
            <x14:dxf>
              <fill>
                <patternFill>
                  <bgColor rgb="FFFFC7CE"/>
                </patternFill>
              </fill>
            </x14:dxf>
          </x14:cfRule>
          <x14:cfRule type="containsText" priority="291" operator="containsText" id="{98CADFAE-807A-4332-B854-6496F0E92140}">
            <xm:f>NOT(ISERROR(SEARCH(Summary!$A$20,J6)))</xm:f>
            <xm:f>Summary!$A$20</xm:f>
            <x14:dxf>
              <fill>
                <patternFill>
                  <bgColor theme="7" tint="0.59996337778862885"/>
                </patternFill>
              </fill>
            </x14:dxf>
          </x14:cfRule>
          <x14:cfRule type="containsText" priority="292" operator="containsText" id="{096F6600-A1DA-41DD-AC8E-3396CA818A1A}">
            <xm:f>NOT(ISERROR(SEARCH(Summary!$A$20,J6)))</xm:f>
            <xm:f>Summary!$A$20</xm:f>
            <x14:dxf>
              <fill>
                <patternFill>
                  <bgColor theme="7" tint="0.39994506668294322"/>
                </patternFill>
              </fill>
            </x14:dxf>
          </x14:cfRule>
          <x14:cfRule type="containsText" priority="293" operator="containsText" id="{BD05CEB2-DE0A-4CC0-A978-607439185E2D}">
            <xm:f>NOT(ISERROR(SEARCH(Summary!$A$20,J6)))</xm:f>
            <xm:f>Summary!$A$20</xm:f>
            <x14:dxf/>
          </x14:cfRule>
          <xm:sqref>J6:J37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Please select from the list" xr:uid="{27A0FCB8-C8B6-4994-8BEC-357150A13B70}">
          <x14:formula1>
            <xm:f>Instructions!$C$30:$C$33</xm:f>
          </x14:formula1>
          <xm:sqref>G6:G37</xm:sqref>
        </x14:dataValidation>
        <x14:dataValidation type="list" allowBlank="1" showInputMessage="1" showErrorMessage="1" prompt="Please select from the list" xr:uid="{1A2D24E1-70E3-4D86-A1DD-0E7527E418D3}">
          <x14:formula1>
            <xm:f>Summary!$A$20:$A$25</xm:f>
          </x14:formula1>
          <xm:sqref>J6:J26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418D-D0BD-8A46-B5BB-264679F50C76}">
  <dimension ref="A2:F24"/>
  <sheetViews>
    <sheetView topLeftCell="A4" workbookViewId="0"/>
  </sheetViews>
  <sheetFormatPr defaultColWidth="11" defaultRowHeight="12"/>
  <cols>
    <col min="1" max="1" width="56.140625" style="1" bestFit="1" customWidth="1"/>
    <col min="2" max="2" width="19.5703125" style="1" customWidth="1"/>
    <col min="3" max="6" width="15.5703125" style="1" customWidth="1"/>
    <col min="7" max="16384" width="11" style="1"/>
  </cols>
  <sheetData>
    <row r="2" spans="1:6" ht="24.75">
      <c r="A2" s="202" t="s">
        <v>537</v>
      </c>
      <c r="B2" s="202"/>
      <c r="C2" s="202"/>
      <c r="D2" s="202"/>
      <c r="E2" s="202"/>
      <c r="F2" s="202"/>
    </row>
    <row r="4" spans="1:6" ht="144.75" customHeight="1">
      <c r="A4" s="129"/>
      <c r="B4" s="133" t="s">
        <v>538</v>
      </c>
      <c r="C4" s="133" t="s">
        <v>539</v>
      </c>
      <c r="D4" s="133" t="s">
        <v>540</v>
      </c>
      <c r="E4" s="133" t="s">
        <v>541</v>
      </c>
      <c r="F4" s="133" t="s">
        <v>542</v>
      </c>
    </row>
    <row r="5" spans="1:6" ht="24">
      <c r="A5" s="132" t="s">
        <v>543</v>
      </c>
      <c r="B5" s="130"/>
      <c r="C5" s="130"/>
      <c r="D5" s="130"/>
      <c r="E5" s="130"/>
      <c r="F5" s="130" t="s">
        <v>544</v>
      </c>
    </row>
    <row r="6" spans="1:6" ht="24">
      <c r="A6" s="132" t="s">
        <v>545</v>
      </c>
      <c r="B6" s="130"/>
      <c r="C6" s="130" t="s">
        <v>544</v>
      </c>
      <c r="D6" s="130"/>
      <c r="E6" s="130"/>
      <c r="F6" s="130"/>
    </row>
    <row r="7" spans="1:6">
      <c r="A7" s="132" t="s">
        <v>546</v>
      </c>
      <c r="B7" s="130"/>
      <c r="C7" s="130"/>
      <c r="D7" s="130" t="s">
        <v>544</v>
      </c>
      <c r="E7" s="130"/>
      <c r="F7" s="130"/>
    </row>
    <row r="8" spans="1:6" ht="24">
      <c r="A8" s="132" t="s">
        <v>547</v>
      </c>
      <c r="B8" s="130"/>
      <c r="C8" s="130" t="s">
        <v>544</v>
      </c>
      <c r="D8" s="130"/>
      <c r="E8" s="130"/>
      <c r="F8" s="130"/>
    </row>
    <row r="9" spans="1:6" ht="36">
      <c r="A9" s="132" t="s">
        <v>548</v>
      </c>
      <c r="B9" s="130"/>
      <c r="C9" s="130" t="s">
        <v>544</v>
      </c>
      <c r="D9" s="130"/>
      <c r="E9" s="130"/>
      <c r="F9" s="130"/>
    </row>
    <row r="10" spans="1:6" ht="24">
      <c r="A10" s="132" t="s">
        <v>549</v>
      </c>
      <c r="B10" s="130"/>
      <c r="C10" s="130" t="s">
        <v>544</v>
      </c>
      <c r="D10" s="130"/>
      <c r="E10" s="130"/>
      <c r="F10" s="130"/>
    </row>
    <row r="11" spans="1:6" ht="36">
      <c r="A11" s="132" t="s">
        <v>550</v>
      </c>
      <c r="B11" s="130"/>
      <c r="C11" s="130" t="s">
        <v>544</v>
      </c>
      <c r="D11" s="130"/>
      <c r="E11" s="130"/>
      <c r="F11" s="130"/>
    </row>
    <row r="12" spans="1:6" ht="24">
      <c r="A12" s="132" t="s">
        <v>551</v>
      </c>
      <c r="B12" s="130"/>
      <c r="C12" s="130" t="s">
        <v>544</v>
      </c>
      <c r="D12" s="130"/>
      <c r="E12" s="130"/>
      <c r="F12" s="130"/>
    </row>
    <row r="13" spans="1:6">
      <c r="A13" s="132" t="s">
        <v>552</v>
      </c>
      <c r="B13" s="130" t="s">
        <v>544</v>
      </c>
      <c r="C13" s="130"/>
      <c r="D13" s="130" t="s">
        <v>544</v>
      </c>
      <c r="E13" s="130"/>
      <c r="F13" s="130"/>
    </row>
    <row r="14" spans="1:6" ht="24">
      <c r="A14" s="132" t="s">
        <v>553</v>
      </c>
      <c r="B14" s="130"/>
      <c r="C14" s="130"/>
      <c r="D14" s="130"/>
      <c r="E14" s="130"/>
      <c r="F14" s="130" t="s">
        <v>544</v>
      </c>
    </row>
    <row r="15" spans="1:6">
      <c r="A15" s="132" t="s">
        <v>554</v>
      </c>
      <c r="B15" s="130" t="s">
        <v>544</v>
      </c>
      <c r="C15" s="130"/>
      <c r="D15" s="130"/>
      <c r="E15" s="130"/>
      <c r="F15" s="130" t="s">
        <v>544</v>
      </c>
    </row>
    <row r="16" spans="1:6">
      <c r="A16" s="132" t="s">
        <v>555</v>
      </c>
      <c r="B16" s="130" t="s">
        <v>544</v>
      </c>
      <c r="C16" s="130"/>
      <c r="D16" s="130"/>
      <c r="E16" s="130"/>
      <c r="F16" s="130"/>
    </row>
    <row r="17" spans="1:6">
      <c r="A17" s="132" t="s">
        <v>556</v>
      </c>
      <c r="B17" s="130" t="s">
        <v>544</v>
      </c>
      <c r="C17" s="130"/>
      <c r="D17" s="130"/>
      <c r="E17" s="130"/>
      <c r="F17" s="130"/>
    </row>
    <row r="18" spans="1:6">
      <c r="A18" s="132" t="s">
        <v>557</v>
      </c>
      <c r="B18" s="130"/>
      <c r="C18" s="130"/>
      <c r="D18" s="130"/>
      <c r="E18" s="130"/>
      <c r="F18" s="130" t="s">
        <v>544</v>
      </c>
    </row>
    <row r="19" spans="1:6">
      <c r="A19" s="132" t="s">
        <v>558</v>
      </c>
      <c r="B19" s="130" t="s">
        <v>544</v>
      </c>
      <c r="C19" s="130"/>
      <c r="D19" s="130"/>
      <c r="E19" s="130"/>
      <c r="F19" s="130"/>
    </row>
    <row r="20" spans="1:6" ht="24">
      <c r="A20" s="132" t="s">
        <v>559</v>
      </c>
      <c r="B20" s="130"/>
      <c r="C20" s="130" t="s">
        <v>544</v>
      </c>
      <c r="D20" s="130"/>
      <c r="E20" s="130"/>
      <c r="F20" s="130" t="s">
        <v>544</v>
      </c>
    </row>
    <row r="21" spans="1:6">
      <c r="A21" s="132" t="s">
        <v>560</v>
      </c>
      <c r="B21" s="130"/>
      <c r="C21" s="130" t="s">
        <v>544</v>
      </c>
      <c r="D21" s="130"/>
      <c r="E21" s="130"/>
      <c r="F21" s="130" t="s">
        <v>544</v>
      </c>
    </row>
    <row r="22" spans="1:6">
      <c r="A22" s="132" t="s">
        <v>561</v>
      </c>
      <c r="B22" s="130"/>
      <c r="C22" s="130" t="s">
        <v>544</v>
      </c>
      <c r="D22" s="130"/>
      <c r="E22" s="130"/>
      <c r="F22" s="130"/>
    </row>
    <row r="23" spans="1:6">
      <c r="A23" s="132" t="s">
        <v>562</v>
      </c>
      <c r="B23" s="130"/>
      <c r="C23" s="130"/>
      <c r="D23" s="130"/>
      <c r="E23" s="130" t="s">
        <v>544</v>
      </c>
      <c r="F23" s="130"/>
    </row>
    <row r="24" spans="1:6">
      <c r="A24" s="132" t="s">
        <v>563</v>
      </c>
      <c r="B24" s="130" t="s">
        <v>544</v>
      </c>
      <c r="C24" s="130" t="s">
        <v>544</v>
      </c>
      <c r="D24" s="131" t="s">
        <v>544</v>
      </c>
      <c r="E24" s="131"/>
      <c r="F24" s="130"/>
    </row>
  </sheetData>
  <sortState xmlns:xlrd2="http://schemas.microsoft.com/office/spreadsheetml/2017/richdata2" ref="A5:F24">
    <sortCondition ref="A5:A24"/>
  </sortState>
  <mergeCells count="1">
    <mergeCell ref="A2:F2"/>
  </mergeCells>
  <conditionalFormatting sqref="B4:F4">
    <cfRule type="cellIs" dxfId="22" priority="1" operator="equal">
      <formula>"Overdue"</formula>
    </cfRule>
    <cfRule type="cellIs" dxfId="21" priority="2" operator="equal">
      <formula>"In Progress"</formula>
    </cfRule>
    <cfRule type="cellIs" dxfId="20" priority="3" operator="equal">
      <formula>"Completed"</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7E71-2288-4FB9-8FA3-16CB4FEC3277}">
  <sheetPr>
    <pageSetUpPr fitToPage="1"/>
  </sheetPr>
  <dimension ref="A2:L22"/>
  <sheetViews>
    <sheetView topLeftCell="A7" workbookViewId="0"/>
  </sheetViews>
  <sheetFormatPr defaultColWidth="11" defaultRowHeight="12"/>
  <cols>
    <col min="1" max="2" width="20.140625" style="1" customWidth="1"/>
    <col min="3" max="3" width="50" style="1" customWidth="1"/>
    <col min="4" max="4" width="38.5703125" style="1" customWidth="1"/>
    <col min="5" max="5" width="22.42578125" style="1" customWidth="1"/>
    <col min="6" max="6" width="20.140625" style="1" customWidth="1"/>
    <col min="7" max="7" width="14.42578125" style="1" customWidth="1"/>
    <col min="8" max="8" width="20.140625" style="1" customWidth="1"/>
    <col min="9" max="10" width="13" style="1" customWidth="1"/>
    <col min="11" max="11" width="14.140625" style="1" customWidth="1"/>
    <col min="12" max="12" width="13" style="1" customWidth="1"/>
    <col min="13" max="16384" width="11" style="1"/>
  </cols>
  <sheetData>
    <row r="2" spans="1:12" ht="24.75">
      <c r="A2" s="202" t="s">
        <v>9</v>
      </c>
      <c r="B2" s="202"/>
      <c r="C2" s="202"/>
      <c r="D2" s="202"/>
      <c r="E2" s="202"/>
      <c r="F2" s="202"/>
      <c r="G2" s="202"/>
      <c r="H2" s="202"/>
      <c r="I2" s="202"/>
      <c r="J2" s="202"/>
      <c r="K2" s="202"/>
      <c r="L2" s="202"/>
    </row>
    <row r="4" spans="1:12" ht="15">
      <c r="A4" s="203" t="s">
        <v>22</v>
      </c>
      <c r="B4" s="203"/>
      <c r="C4" s="203"/>
      <c r="D4" s="203"/>
      <c r="E4" s="203"/>
      <c r="F4" s="203"/>
      <c r="G4" s="203" t="s">
        <v>23</v>
      </c>
      <c r="H4" s="203"/>
      <c r="I4" s="203"/>
      <c r="J4" s="203" t="s">
        <v>24</v>
      </c>
      <c r="K4" s="203"/>
      <c r="L4" s="203"/>
    </row>
    <row r="5" spans="1:12" ht="24">
      <c r="A5" s="75" t="s">
        <v>25</v>
      </c>
      <c r="B5" s="75" t="s">
        <v>26</v>
      </c>
      <c r="C5" s="75" t="s">
        <v>27</v>
      </c>
      <c r="D5" s="75" t="s">
        <v>28</v>
      </c>
      <c r="E5" s="75" t="s">
        <v>29</v>
      </c>
      <c r="F5" s="75" t="s">
        <v>30</v>
      </c>
      <c r="G5" s="76" t="s">
        <v>31</v>
      </c>
      <c r="H5" s="76" t="s">
        <v>32</v>
      </c>
      <c r="I5" s="76" t="s">
        <v>33</v>
      </c>
      <c r="J5" s="76" t="s">
        <v>24</v>
      </c>
      <c r="K5" s="76" t="s">
        <v>34</v>
      </c>
      <c r="L5" s="76" t="s">
        <v>35</v>
      </c>
    </row>
    <row r="6" spans="1:12" ht="36">
      <c r="A6" s="31"/>
      <c r="B6" s="31"/>
      <c r="C6" s="32" t="s">
        <v>564</v>
      </c>
      <c r="D6" s="81" t="s">
        <v>565</v>
      </c>
      <c r="E6" s="33"/>
      <c r="F6" s="34"/>
      <c r="G6" s="35"/>
      <c r="H6" s="36"/>
      <c r="I6" s="37"/>
      <c r="J6" s="35"/>
      <c r="K6" s="32"/>
      <c r="L6" s="32"/>
    </row>
    <row r="7" spans="1:12" ht="60">
      <c r="A7" s="22"/>
      <c r="B7" s="22"/>
      <c r="C7" s="32" t="s">
        <v>566</v>
      </c>
      <c r="D7" s="81" t="s">
        <v>567</v>
      </c>
      <c r="E7" s="23"/>
      <c r="F7" s="19"/>
      <c r="G7" s="30"/>
      <c r="H7" s="11"/>
      <c r="I7" s="15"/>
      <c r="J7" s="30"/>
      <c r="K7" s="18"/>
      <c r="L7" s="19"/>
    </row>
    <row r="8" spans="1:12" ht="36">
      <c r="A8" s="24"/>
      <c r="B8" s="24"/>
      <c r="C8" s="32" t="s">
        <v>568</v>
      </c>
      <c r="D8" s="81" t="s">
        <v>569</v>
      </c>
      <c r="E8" s="23"/>
      <c r="F8" s="21"/>
      <c r="G8" s="30"/>
      <c r="H8" s="16"/>
      <c r="I8" s="17"/>
      <c r="J8" s="30"/>
      <c r="K8" s="20"/>
      <c r="L8" s="21"/>
    </row>
    <row r="9" spans="1:12" ht="60">
      <c r="A9" s="24"/>
      <c r="B9" s="24"/>
      <c r="C9" s="32" t="s">
        <v>570</v>
      </c>
      <c r="D9" s="81" t="s">
        <v>571</v>
      </c>
      <c r="E9" s="23"/>
      <c r="F9" s="21"/>
      <c r="G9" s="30"/>
      <c r="H9" s="16"/>
      <c r="I9" s="17"/>
      <c r="J9" s="30"/>
      <c r="K9" s="20"/>
      <c r="L9" s="21"/>
    </row>
    <row r="10" spans="1:12" ht="48">
      <c r="A10" s="24"/>
      <c r="B10" s="24"/>
      <c r="C10" s="32" t="s">
        <v>572</v>
      </c>
      <c r="D10" s="81" t="s">
        <v>571</v>
      </c>
      <c r="E10" s="23"/>
      <c r="F10" s="21"/>
      <c r="G10" s="30"/>
      <c r="H10" s="16"/>
      <c r="I10" s="17"/>
      <c r="J10" s="30"/>
      <c r="K10" s="20"/>
      <c r="L10" s="21"/>
    </row>
    <row r="11" spans="1:12">
      <c r="A11" s="24"/>
      <c r="B11" s="24"/>
      <c r="C11" s="82" t="s">
        <v>573</v>
      </c>
      <c r="D11" s="81" t="s">
        <v>571</v>
      </c>
      <c r="E11" s="23"/>
      <c r="F11" s="21"/>
      <c r="G11" s="30"/>
      <c r="H11" s="16"/>
      <c r="I11" s="17"/>
      <c r="J11" s="30"/>
      <c r="K11" s="20"/>
      <c r="L11" s="21"/>
    </row>
    <row r="12" spans="1:12" ht="111" customHeight="1">
      <c r="A12" s="24"/>
      <c r="B12" s="24"/>
      <c r="C12" s="78" t="s">
        <v>574</v>
      </c>
      <c r="D12" s="81" t="s">
        <v>575</v>
      </c>
      <c r="E12" s="23"/>
      <c r="F12" s="21"/>
      <c r="G12" s="30"/>
      <c r="H12" s="16"/>
      <c r="I12" s="17"/>
      <c r="J12" s="30"/>
      <c r="K12" s="20"/>
      <c r="L12" s="21"/>
    </row>
    <row r="13" spans="1:12" ht="90" customHeight="1">
      <c r="A13" s="24"/>
      <c r="B13" s="24"/>
      <c r="C13" s="83" t="s">
        <v>576</v>
      </c>
      <c r="D13" s="81" t="s">
        <v>575</v>
      </c>
      <c r="E13" s="23"/>
      <c r="F13" s="21"/>
      <c r="G13" s="30"/>
      <c r="H13" s="16"/>
      <c r="I13" s="17"/>
      <c r="J13" s="30"/>
      <c r="K13" s="20"/>
      <c r="L13" s="21"/>
    </row>
    <row r="14" spans="1:12" ht="60">
      <c r="A14" s="24"/>
      <c r="B14" s="24"/>
      <c r="C14" s="83" t="s">
        <v>577</v>
      </c>
      <c r="D14" s="32" t="s">
        <v>578</v>
      </c>
      <c r="E14" s="23"/>
      <c r="F14" s="21"/>
      <c r="G14" s="30"/>
      <c r="H14" s="16"/>
      <c r="I14" s="17"/>
      <c r="J14" s="30"/>
      <c r="K14" s="20"/>
      <c r="L14" s="21"/>
    </row>
    <row r="15" spans="1:12" ht="60">
      <c r="A15" s="24"/>
      <c r="B15" s="24"/>
      <c r="C15" s="32" t="s">
        <v>579</v>
      </c>
      <c r="D15" s="18" t="s">
        <v>580</v>
      </c>
      <c r="E15" s="23"/>
      <c r="F15" s="21"/>
      <c r="G15" s="30"/>
      <c r="H15" s="16"/>
      <c r="I15" s="17"/>
      <c r="J15" s="30"/>
      <c r="K15" s="20"/>
      <c r="L15" s="21"/>
    </row>
    <row r="16" spans="1:12" ht="96">
      <c r="A16" s="24"/>
      <c r="B16" s="24"/>
      <c r="C16" s="32" t="s">
        <v>581</v>
      </c>
      <c r="D16" s="84" t="s">
        <v>582</v>
      </c>
      <c r="E16" s="23"/>
      <c r="F16" s="21"/>
      <c r="G16" s="30"/>
      <c r="H16" s="16"/>
      <c r="I16" s="17"/>
      <c r="J16" s="30"/>
      <c r="K16" s="20"/>
      <c r="L16" s="21"/>
    </row>
    <row r="17" spans="1:12" ht="24">
      <c r="A17" s="24"/>
      <c r="B17" s="24"/>
      <c r="C17" s="32" t="s">
        <v>583</v>
      </c>
      <c r="D17" s="84" t="s">
        <v>584</v>
      </c>
      <c r="E17" s="23"/>
      <c r="F17" s="21"/>
      <c r="G17" s="30"/>
      <c r="H17" s="16"/>
      <c r="I17" s="17"/>
      <c r="J17" s="30"/>
      <c r="K17" s="20"/>
      <c r="L17" s="21"/>
    </row>
    <row r="18" spans="1:12" ht="24">
      <c r="A18" s="24"/>
      <c r="B18" s="24"/>
      <c r="C18" s="32" t="s">
        <v>585</v>
      </c>
      <c r="D18" s="84" t="s">
        <v>586</v>
      </c>
      <c r="E18" s="23"/>
      <c r="F18" s="21"/>
      <c r="G18" s="30"/>
      <c r="H18" s="16"/>
      <c r="I18" s="17"/>
      <c r="J18" s="30"/>
      <c r="K18" s="20"/>
      <c r="L18" s="21"/>
    </row>
    <row r="19" spans="1:12" ht="60">
      <c r="A19" s="24"/>
      <c r="B19" s="24"/>
      <c r="C19" s="32" t="s">
        <v>587</v>
      </c>
      <c r="D19" s="84" t="s">
        <v>588</v>
      </c>
      <c r="E19" s="23"/>
      <c r="F19" s="21"/>
      <c r="G19" s="30"/>
      <c r="H19" s="16"/>
      <c r="I19" s="17"/>
      <c r="J19" s="30"/>
      <c r="K19" s="20"/>
      <c r="L19" s="21"/>
    </row>
    <row r="20" spans="1:12" ht="144">
      <c r="A20" s="24"/>
      <c r="B20" s="24"/>
      <c r="C20" s="32" t="s">
        <v>589</v>
      </c>
      <c r="D20" s="84" t="s">
        <v>590</v>
      </c>
      <c r="E20" s="23"/>
      <c r="F20" s="21"/>
      <c r="G20" s="30"/>
      <c r="H20" s="16"/>
      <c r="I20" s="17"/>
      <c r="J20" s="30"/>
      <c r="K20" s="20"/>
      <c r="L20" s="21"/>
    </row>
    <row r="21" spans="1:12" ht="24">
      <c r="A21" s="24"/>
      <c r="B21" s="24"/>
      <c r="C21" s="32"/>
      <c r="D21" s="77" t="s">
        <v>591</v>
      </c>
      <c r="E21" s="23"/>
      <c r="F21" s="21"/>
      <c r="G21" s="30"/>
      <c r="H21" s="16"/>
      <c r="I21" s="17"/>
      <c r="J21" s="30"/>
      <c r="K21" s="20"/>
      <c r="L21" s="21"/>
    </row>
    <row r="22" spans="1:12">
      <c r="A22" s="24"/>
      <c r="B22" s="24"/>
      <c r="C22" s="20"/>
      <c r="D22" s="20"/>
      <c r="E22" s="23"/>
      <c r="F22" s="21"/>
      <c r="G22" s="30"/>
      <c r="H22" s="16"/>
      <c r="I22" s="17"/>
      <c r="J22" s="30"/>
      <c r="K22" s="20"/>
      <c r="L22" s="21"/>
    </row>
  </sheetData>
  <autoFilter ref="A5:L5" xr:uid="{EAF9F12B-6DB0-4681-8E8E-7BC640BCB124}"/>
  <mergeCells count="4">
    <mergeCell ref="A2:L2"/>
    <mergeCell ref="A4:F4"/>
    <mergeCell ref="G4:I4"/>
    <mergeCell ref="J4:L4"/>
  </mergeCells>
  <conditionalFormatting sqref="A4 G4">
    <cfRule type="cellIs" dxfId="19" priority="13" operator="equal">
      <formula>"Overdue"</formula>
    </cfRule>
    <cfRule type="cellIs" dxfId="18" priority="14" operator="equal">
      <formula>"In Progress"</formula>
    </cfRule>
    <cfRule type="cellIs" dxfId="17" priority="15" operator="equal">
      <formula>"Completed"</formula>
    </cfRule>
  </conditionalFormatting>
  <conditionalFormatting sqref="A5:I5">
    <cfRule type="cellIs" dxfId="16" priority="1" operator="equal">
      <formula>"Overdue"</formula>
    </cfRule>
    <cfRule type="cellIs" dxfId="15" priority="2" operator="equal">
      <formula>"In Progress"</formula>
    </cfRule>
    <cfRule type="cellIs" dxfId="14" priority="3" operator="equal">
      <formula>"Completed"</formula>
    </cfRule>
  </conditionalFormatting>
  <conditionalFormatting sqref="G6:G22">
    <cfRule type="containsText" dxfId="13" priority="16" operator="containsText" text="D">
      <formula>NOT(ISERROR(SEARCH("D",G6)))</formula>
    </cfRule>
    <cfRule type="containsText" dxfId="12" priority="17" operator="containsText" text="C">
      <formula>NOT(ISERROR(SEARCH("C",G6)))</formula>
    </cfRule>
    <cfRule type="containsText" dxfId="11" priority="18" operator="containsText" text="B">
      <formula>NOT(ISERROR(SEARCH("B",G6)))</formula>
    </cfRule>
    <cfRule type="cellIs" dxfId="10" priority="19" operator="equal">
      <formula>"A"</formula>
    </cfRule>
  </conditionalFormatting>
  <conditionalFormatting sqref="J5:J22">
    <cfRule type="cellIs" dxfId="9" priority="20" operator="equal">
      <formula>"Overdue"</formula>
    </cfRule>
    <cfRule type="cellIs" dxfId="8" priority="21" operator="equal">
      <formula>"In Progress"</formula>
    </cfRule>
    <cfRule type="cellIs" dxfId="7" priority="22" operator="equal">
      <formula>"Completed"</formula>
    </cfRule>
  </conditionalFormatting>
  <conditionalFormatting sqref="J6:J22">
    <cfRule type="colorScale" priority="12">
      <colorScale>
        <cfvo type="min"/>
        <cfvo type="percentile" val="50"/>
        <cfvo type="max"/>
        <color rgb="FFF8696B"/>
        <color rgb="FFFFEB84"/>
        <color rgb="FF63BE7B"/>
      </colorScale>
    </cfRule>
  </conditionalFormatting>
  <printOptions horizontalCentered="1"/>
  <pageMargins left="0.59055118110236227" right="0.59055118110236227" top="1.2598425196850394" bottom="0.74803149606299213" header="0.51181102362204722" footer="0.31496062992125984"/>
  <pageSetup paperSize="9" scale="57" fitToHeight="0" orientation="landscape" r:id="rId1"/>
  <headerFooter>
    <oddHeader>&amp;L&amp;G&amp;R&amp;"Arial,Bold"&amp;16Environmental Compliance Obligations Register
&amp;11Document Reference Number: DTI-HESQ-TP002.1</oddHeader>
    <oddFooter>&amp;L&amp;8DTI-HESQ-TP002.1
 Internal Use Only
© DT Infrastructure 2023. All Rights Reserved
&amp;C&amp;8Warning: Printed documents are UNCONTROLLED&amp;R&amp;8Page &amp;P of &amp;N
Version: 1.0
Commercial in Confidence</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4" operator="containsText" id="{51AFD8D2-C18C-4F7A-B13E-2A4666D7239D}">
            <xm:f>NOT(ISERROR(SEARCH(Summary!$A$25,J6)))</xm:f>
            <xm:f>Summary!$A$25</xm:f>
            <x14:dxf>
              <fill>
                <patternFill>
                  <bgColor theme="9" tint="0.59996337778862885"/>
                </patternFill>
              </fill>
            </x14:dxf>
          </x14:cfRule>
          <x14:cfRule type="containsText" priority="5" operator="containsText" id="{24A4E960-5B30-4823-AC50-715A8543C5C3}">
            <xm:f>NOT(ISERROR(SEARCH(Summary!$A$24,J6)))</xm:f>
            <xm:f>Summary!$A$24</xm:f>
            <x14:dxf>
              <fill>
                <patternFill>
                  <bgColor rgb="FFFFC7CE"/>
                </patternFill>
              </fill>
            </x14:dxf>
          </x14:cfRule>
          <x14:cfRule type="containsText" priority="6" operator="containsText" id="{20AFB17C-B17F-491C-87A7-FCF17CB794DF}">
            <xm:f>NOT(ISERROR(SEARCH(Summary!$A$23,J6)))</xm:f>
            <xm:f>Summary!$A$23</xm:f>
            <x14:dxf>
              <fill>
                <patternFill>
                  <bgColor theme="9" tint="0.59996337778862885"/>
                </patternFill>
              </fill>
            </x14:dxf>
          </x14:cfRule>
          <x14:cfRule type="containsText" priority="7" operator="containsText" id="{BDF22411-CC69-4E43-BF00-A79344B9004E}">
            <xm:f>NOT(ISERROR(SEARCH(Summary!$A$22,J6)))</xm:f>
            <xm:f>Summary!$A$22</xm:f>
            <x14:dxf>
              <fill>
                <patternFill>
                  <bgColor theme="7" tint="0.59996337778862885"/>
                </patternFill>
              </fill>
            </x14:dxf>
          </x14:cfRule>
          <x14:cfRule type="containsText" priority="8" operator="containsText" id="{86C35227-713A-41E2-A305-E6D126769A9F}">
            <xm:f>NOT(ISERROR(SEARCH(Summary!$A$21,J6)))</xm:f>
            <xm:f>Summary!$A$21</xm:f>
            <x14:dxf>
              <fill>
                <patternFill>
                  <bgColor rgb="FFFFC7CE"/>
                </patternFill>
              </fill>
            </x14:dxf>
          </x14:cfRule>
          <x14:cfRule type="containsText" priority="9" operator="containsText" id="{30D8017F-C04E-48F8-8DC1-6BFFB2E180C4}">
            <xm:f>NOT(ISERROR(SEARCH(Summary!$A$20,J6)))</xm:f>
            <xm:f>Summary!$A$20</xm:f>
            <x14:dxf>
              <fill>
                <patternFill>
                  <bgColor theme="7" tint="0.59996337778862885"/>
                </patternFill>
              </fill>
            </x14:dxf>
          </x14:cfRule>
          <x14:cfRule type="containsText" priority="10" operator="containsText" id="{EFE1C931-D782-473F-84B3-BEC06CAC0894}">
            <xm:f>NOT(ISERROR(SEARCH(Summary!$A$20,J6)))</xm:f>
            <xm:f>Summary!$A$20</xm:f>
            <x14:dxf>
              <fill>
                <patternFill>
                  <bgColor theme="7" tint="0.39994506668294322"/>
                </patternFill>
              </fill>
            </x14:dxf>
          </x14:cfRule>
          <x14:cfRule type="containsText" priority="11" operator="containsText" id="{BA315F06-AE94-4B7C-913E-0A964C0B1740}">
            <xm:f>NOT(ISERROR(SEARCH(Summary!$A$20,J6)))</xm:f>
            <xm:f>Summary!$A$20</xm:f>
            <x14:dxf/>
          </x14:cfRule>
          <xm:sqref>J6:J22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Please select from the list" xr:uid="{FBCD7916-1805-491B-B7DA-689D70C21215}">
          <x14:formula1>
            <xm:f>Summary!$A$20:$A$25</xm:f>
          </x14:formula1>
          <xm:sqref>J6:J22</xm:sqref>
        </x14:dataValidation>
        <x14:dataValidation type="list" allowBlank="1" showInputMessage="1" showErrorMessage="1" prompt="Please select from the list" xr:uid="{445AE334-52D0-4E63-ACC0-FACE1F5E6976}">
          <x14:formula1>
            <xm:f>Instructions!$C$30:$C$33</xm:f>
          </x14:formula1>
          <xm:sqref>G6:G22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CA01-41DE-DA40-8D8E-FB55F5B57194}">
  <sheetPr>
    <tabColor theme="7" tint="0.39997558519241921"/>
  </sheetPr>
  <dimension ref="A2:F17"/>
  <sheetViews>
    <sheetView workbookViewId="0"/>
  </sheetViews>
  <sheetFormatPr defaultColWidth="11.42578125" defaultRowHeight="12"/>
  <cols>
    <col min="1" max="1" width="19.85546875" customWidth="1"/>
    <col min="2" max="2" width="63" style="1" customWidth="1"/>
    <col min="3" max="3" width="22" customWidth="1"/>
    <col min="6" max="6" width="63" style="1" customWidth="1"/>
  </cols>
  <sheetData>
    <row r="2" spans="1:6">
      <c r="A2" s="106" t="s">
        <v>592</v>
      </c>
    </row>
    <row r="4" spans="1:6">
      <c r="A4" s="112" t="s">
        <v>593</v>
      </c>
      <c r="B4" s="113" t="s">
        <v>594</v>
      </c>
      <c r="C4" s="112" t="s">
        <v>595</v>
      </c>
      <c r="D4" s="112" t="s">
        <v>596</v>
      </c>
      <c r="E4" s="112" t="s">
        <v>597</v>
      </c>
      <c r="F4" s="113" t="s">
        <v>598</v>
      </c>
    </row>
    <row r="5" spans="1:6">
      <c r="A5" s="107" t="s">
        <v>599</v>
      </c>
      <c r="B5" s="109" t="s">
        <v>600</v>
      </c>
      <c r="C5" s="107"/>
      <c r="D5" s="107"/>
      <c r="E5" s="107"/>
      <c r="F5" s="109"/>
    </row>
    <row r="6" spans="1:6">
      <c r="A6" s="107" t="s">
        <v>599</v>
      </c>
      <c r="B6" s="109" t="s">
        <v>601</v>
      </c>
      <c r="C6" s="107" t="s">
        <v>602</v>
      </c>
      <c r="D6" s="107">
        <v>4</v>
      </c>
      <c r="E6" s="111">
        <v>44102</v>
      </c>
      <c r="F6" s="109"/>
    </row>
    <row r="7" spans="1:6">
      <c r="A7" s="107" t="s">
        <v>599</v>
      </c>
      <c r="B7" s="114" t="s">
        <v>603</v>
      </c>
      <c r="C7" s="108" t="s">
        <v>604</v>
      </c>
      <c r="D7" s="107"/>
      <c r="E7" s="107"/>
      <c r="F7" s="109"/>
    </row>
    <row r="8" spans="1:6" ht="14.1" customHeight="1">
      <c r="A8" s="107" t="s">
        <v>599</v>
      </c>
      <c r="B8" s="109" t="s">
        <v>605</v>
      </c>
      <c r="C8" s="107" t="s">
        <v>606</v>
      </c>
      <c r="D8" s="107">
        <v>1.1000000000000001</v>
      </c>
      <c r="E8" s="107"/>
      <c r="F8" s="109"/>
    </row>
    <row r="9" spans="1:6">
      <c r="A9" s="107" t="s">
        <v>599</v>
      </c>
      <c r="B9" s="114" t="s">
        <v>607</v>
      </c>
      <c r="C9" s="108" t="s">
        <v>608</v>
      </c>
      <c r="D9" s="108">
        <v>3</v>
      </c>
      <c r="E9" s="107"/>
      <c r="F9" s="109"/>
    </row>
    <row r="10" spans="1:6">
      <c r="A10" s="107" t="s">
        <v>599</v>
      </c>
      <c r="B10" s="114" t="s">
        <v>609</v>
      </c>
      <c r="C10" s="108" t="s">
        <v>610</v>
      </c>
      <c r="D10" s="108">
        <v>3</v>
      </c>
      <c r="E10" s="107"/>
      <c r="F10" s="109"/>
    </row>
    <row r="11" spans="1:6">
      <c r="A11" s="107" t="s">
        <v>599</v>
      </c>
      <c r="B11" s="114" t="s">
        <v>611</v>
      </c>
      <c r="C11" s="108" t="s">
        <v>612</v>
      </c>
      <c r="D11" s="108">
        <v>3</v>
      </c>
      <c r="E11" s="107"/>
      <c r="F11" s="109"/>
    </row>
    <row r="12" spans="1:6" ht="24">
      <c r="A12" s="107" t="s">
        <v>599</v>
      </c>
      <c r="B12" s="109" t="s">
        <v>613</v>
      </c>
      <c r="C12" s="108"/>
      <c r="D12" s="108"/>
      <c r="E12" s="110">
        <v>44958</v>
      </c>
      <c r="F12" s="115" t="s">
        <v>614</v>
      </c>
    </row>
    <row r="13" spans="1:6">
      <c r="A13" s="107" t="s">
        <v>615</v>
      </c>
      <c r="B13" s="109" t="s">
        <v>616</v>
      </c>
      <c r="C13" s="107">
        <v>13704082</v>
      </c>
      <c r="D13" s="107"/>
      <c r="E13" s="111">
        <v>45083</v>
      </c>
      <c r="F13" s="109"/>
    </row>
    <row r="14" spans="1:6">
      <c r="A14" s="107" t="s">
        <v>615</v>
      </c>
      <c r="B14" s="109" t="s">
        <v>617</v>
      </c>
      <c r="C14" s="107"/>
      <c r="D14" s="107"/>
      <c r="E14" s="111">
        <v>45096</v>
      </c>
      <c r="F14" s="109"/>
    </row>
    <row r="15" spans="1:6" ht="24">
      <c r="A15" s="107" t="s">
        <v>618</v>
      </c>
      <c r="B15" s="109" t="s">
        <v>619</v>
      </c>
      <c r="C15" s="107"/>
      <c r="D15" s="107"/>
      <c r="E15" s="111">
        <v>43374</v>
      </c>
      <c r="F15" s="109"/>
    </row>
    <row r="16" spans="1:6">
      <c r="A16" s="107" t="s">
        <v>620</v>
      </c>
      <c r="B16" s="109" t="s">
        <v>621</v>
      </c>
      <c r="C16" s="107" t="s">
        <v>622</v>
      </c>
      <c r="D16" s="107">
        <v>2.0299999999999998</v>
      </c>
      <c r="E16" s="111">
        <v>45079</v>
      </c>
      <c r="F16" s="109"/>
    </row>
    <row r="17" spans="1:6" ht="24">
      <c r="A17" s="107" t="s">
        <v>623</v>
      </c>
      <c r="B17" s="109" t="s">
        <v>624</v>
      </c>
      <c r="C17" s="107"/>
      <c r="D17" s="107" t="s">
        <v>20</v>
      </c>
      <c r="E17" s="111">
        <v>45211</v>
      </c>
      <c r="F17" s="109" t="s">
        <v>625</v>
      </c>
    </row>
  </sheetData>
  <pageMargins left="0.7" right="0.7" top="0.75" bottom="0.75" header="0.3" footer="0.3"/>
  <pageSetup paperSize="9" orientation="portrait" r:id="rId1"/>
</worksheet>
</file>

<file path=customUI/_rels/customUI14.xml.rels><?xml version="1.0" encoding="UTF-8" standalone="yes"?>
<Relationships xmlns="http://schemas.openxmlformats.org/package/2006/relationships"><Relationship Id="ThreeAcross" Type="http://schemas.openxmlformats.org/officeDocument/2006/relationships/image" Target="images/ThreeAcross.png"/><Relationship Id="OneAcross" Type="http://schemas.openxmlformats.org/officeDocument/2006/relationships/image" Target="images/OneAcross.png"/><Relationship Id="TwoAcross" Type="http://schemas.openxmlformats.org/officeDocument/2006/relationships/image" Target="images/TwoAcross.png"/></Relationships>
</file>

<file path=customUI/customUI14.xml><?xml version="1.0" encoding="utf-8"?>
<customUI xmlns="http://schemas.microsoft.com/office/2009/07/customui">
  <ribbon>
    <tabs>
      <tab id="Colliers" label="Downer" insertBeforeMso="TabHome">
        <group id="ResizeCharts" label="Resize Charts">
          <button id="OneAcross" label="One Across" size="large" onAction="OneAcross" imageMso="Chart3DColumnChart"/>
          <button id="TwoAcross" label="Two Across" size="large" onAction="TwoAcross" image="TwoAcross"/>
          <button id="ThreeAcross" label="Three Across" size="large" onAction="ThreeAcross" image="ThreeAcross"/>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134778B816D848AFAAAA206E6B12EC" ma:contentTypeVersion="54" ma:contentTypeDescription="Create a new document." ma:contentTypeScope="" ma:versionID="82bc6028667c266a8c8a7ec4d80690db">
  <xsd:schema xmlns:xsd="http://www.w3.org/2001/XMLSchema" xmlns:xs="http://www.w3.org/2001/XMLSchema" xmlns:p="http://schemas.microsoft.com/office/2006/metadata/properties" xmlns:ns2="932ff76f-9620-4429-9ff2-5a88b0133bb2" xmlns:ns3="102de6aa-c8e8-4b9e-a47b-039a63826e9d" targetNamespace="http://schemas.microsoft.com/office/2006/metadata/properties" ma:root="true" ma:fieldsID="cbd22f79a11976548759f8bae951708a" ns2:_="" ns3:_="">
    <xsd:import namespace="932ff76f-9620-4429-9ff2-5a88b0133bb2"/>
    <xsd:import namespace="102de6aa-c8e8-4b9e-a47b-039a63826e9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NextSubmittalDate" minOccurs="0"/>
                <xsd:element ref="ns2:SubmissionofMgtPlan_x0028_BDfollowingcommdate_x0029_" minOccurs="0"/>
                <xsd:element ref="ns2:Status" minOccurs="0"/>
                <xsd:element ref="ns2:Rev_x0023_" minOccurs="0"/>
                <xsd:element ref="ns2:ReviewPeriodbyContractor" minOccurs="0"/>
                <xsd:element ref="ns2:LastAction" minOccurs="0"/>
                <xsd:element ref="ns2:LastActionOccured" minOccurs="0"/>
                <xsd:element ref="ns2:Remarks" minOccurs="0"/>
                <xsd:element ref="ns2:ENTITY" minOccurs="0"/>
                <xsd:element ref="ns2:Status1" minOccurs="0"/>
                <xsd:element ref="ns2:_Flow_SignoffStatus" minOccurs="0"/>
                <xsd:element ref="ns2:Author0" minOccurs="0"/>
                <xsd:element ref="ns2:MediaServiceSearchProperties" minOccurs="0"/>
                <xsd:element ref="ns2:JanaganThangarajah" minOccurs="0"/>
                <xsd:element ref="ns2:DOWREV_x0023_" minOccurs="0"/>
                <xsd:element ref="ns2:ICREV_x0023_" minOccurs="0"/>
                <xsd:element ref="ns2:DOWCOMMENTSHEET_x0023_" minOccurs="0"/>
                <xsd:element ref="ns2:ICCS_x0023_" minOccurs="0"/>
                <xsd:element ref="ns2:NextAction" minOccurs="0"/>
                <xsd:element ref="ns2:In8T_x0023_" minOccurs="0"/>
                <xsd:element ref="ns2:In8TDate" minOccurs="0"/>
                <xsd:element ref="ns2:ITPSTATUS" minOccurs="0"/>
                <xsd:element ref="ns2:MediaServiceBillingMetadata" minOccurs="0"/>
                <xsd:element ref="ns2:REV" minOccurs="0"/>
                <xsd:element ref="ns2:DateonDocument" minOccurs="0"/>
                <xsd:element ref="ns2:Hyperlink_K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ff76f-9620-4429-9ff2-5a88b0133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35e00a5-3d50-45c0-b592-c63ac4164a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NextSubmittalDate" ma:index="22" nillable="true" ma:displayName="Mgt Plan Submission Date" ma:description="MANAGEMENT PLANS" ma:format="DateOnly" ma:internalName="NextSubmittalDate">
      <xsd:simpleType>
        <xsd:restriction base="dms:DateTime"/>
      </xsd:simpleType>
    </xsd:element>
    <xsd:element name="SubmissionofMgtPlan_x0028_BDfollowingcommdate_x0029_" ma:index="23" nillable="true" ma:displayName="Submission of Mgt Plan (BD following comm date)" ma:format="Dropdown" ma:internalName="SubmissionofMgtPlan_x0028_BDfollowingcommdate_x0029_">
      <xsd:simpleType>
        <xsd:restriction base="dms:Text">
          <xsd:maxLength value="255"/>
        </xsd:restriction>
      </xsd:simpleType>
    </xsd:element>
    <xsd:element name="Status" ma:index="24" nillable="true" ma:displayName="Status" ma:format="Dropdown" ma:internalName="Status">
      <xsd:simpleType>
        <xsd:restriction base="dms:Choice">
          <xsd:enumeration value="IFU - Issued for Use"/>
          <xsd:enumeration value="IFR - Issued for Review"/>
          <xsd:enumeration value="IFI - Issued for Information"/>
          <xsd:enumeration value="CONFIRMED"/>
          <xsd:enumeration value="REVIEW COMMENT RETURN"/>
          <xsd:enumeration value="Draft"/>
        </xsd:restriction>
      </xsd:simpleType>
    </xsd:element>
    <xsd:element name="Rev_x0023_" ma:index="25" nillable="true" ma:displayName="Rev #" ma:format="Dropdown" ma:internalName="Rev_x0023_">
      <xsd:simpleType>
        <xsd:restriction base="dms:Choice">
          <xsd:enumeration value="A"/>
          <xsd:enumeration value="B"/>
          <xsd:enumeration value="C"/>
          <xsd:enumeration value="D"/>
          <xsd:enumeration value="E"/>
          <xsd:enumeration value="0"/>
          <xsd:enumeration value="F"/>
        </xsd:restriction>
      </xsd:simpleType>
    </xsd:element>
    <xsd:element name="ReviewPeriodbyContractor" ma:index="26" nillable="true" ma:displayName="Review Period by Contractor " ma:format="Dropdown" ma:internalName="ReviewPeriodbyContractor">
      <xsd:simpleType>
        <xsd:restriction base="dms:Text">
          <xsd:maxLength value="255"/>
        </xsd:restriction>
      </xsd:simpleType>
    </xsd:element>
    <xsd:element name="LastAction" ma:index="27" nillable="true" ma:displayName="Action with Company" ma:format="Dropdown" ma:internalName="LastAction">
      <xsd:simpleType>
        <xsd:restriction base="dms:Choice">
          <xsd:enumeration value="RTS RETURN IC"/>
          <xsd:enumeration value="RTS RETURN DOW"/>
          <xsd:enumeration value="DTI RESPONSE TO IC"/>
          <xsd:enumeration value="DTI RESPONSE TO DOW"/>
          <xsd:enumeration value="RTS RETURN DOW &amp; IC"/>
          <xsd:enumeration value="DTI"/>
          <xsd:enumeration value="DOWNER"/>
        </xsd:restriction>
      </xsd:simpleType>
    </xsd:element>
    <xsd:element name="LastActionOccured" ma:index="28" nillable="true" ma:displayName="Latest Review Action Date" ma:format="DateOnly" ma:internalName="LastActionOccured">
      <xsd:simpleType>
        <xsd:restriction base="dms:DateTime"/>
      </xsd:simpleType>
    </xsd:element>
    <xsd:element name="Remarks" ma:index="29" nillable="true" ma:displayName="Remarks" ma:format="Dropdown" ma:internalName="Remarks">
      <xsd:simpleType>
        <xsd:restriction base="dms:Note">
          <xsd:maxLength value="255"/>
        </xsd:restriction>
      </xsd:simpleType>
    </xsd:element>
    <xsd:element name="ENTITY" ma:index="30" nillable="true" ma:displayName="ENTITY" ma:format="Dropdown" ma:internalName="ENTITY">
      <xsd:simpleType>
        <xsd:restriction base="dms:Choice">
          <xsd:enumeration value="DT Infrastructure"/>
          <xsd:enumeration value="Downer RTS"/>
          <xsd:enumeration value="WGJV"/>
          <xsd:enumeration value="AE"/>
          <xsd:enumeration value="QTMP Other Projects"/>
        </xsd:restriction>
      </xsd:simpleType>
    </xsd:element>
    <xsd:element name="Status1" ma:index="31" nillable="true" ma:displayName="Status1" ma:default="Certified" ma:format="Dropdown" ma:indexed="true" ma:internalName="Status1">
      <xsd:simpleType>
        <xsd:restriction base="dms:Choice">
          <xsd:enumeration value="Certified"/>
          <xsd:enumeration value="Endorsed"/>
          <xsd:enumeration value="Approved"/>
          <xsd:enumeration value="Receipted"/>
          <xsd:enumeration value="Paid"/>
        </xsd:restriction>
      </xsd:simpleType>
    </xsd:element>
    <xsd:element name="_Flow_SignoffStatus" ma:index="32" nillable="true" ma:displayName="Sign-off status" ma:internalName="Sign_x002d_off_x0020_status">
      <xsd:simpleType>
        <xsd:restriction base="dms:Text"/>
      </xsd:simpleType>
    </xsd:element>
    <xsd:element name="Author0" ma:index="33"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34" nillable="true" ma:displayName="MediaServiceSearchProperties" ma:hidden="true" ma:internalName="MediaServiceSearchProperties" ma:readOnly="true">
      <xsd:simpleType>
        <xsd:restriction base="dms:Note"/>
      </xsd:simpleType>
    </xsd:element>
    <xsd:element name="JanaganThangarajah" ma:index="35" nillable="true" ma:displayName="DTI Engineer" ma:description="DTI Engineer" ma:format="Dropdown" ma:list="UserInfo" ma:SharePointGroup="0" ma:internalName="JanaganThangarajah">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WREV_x0023_" ma:index="36" nillable="true" ma:displayName="LATEST DOW REV #" ma:format="Dropdown" ma:internalName="DOWREV_x0023_">
      <xsd:simpleType>
        <xsd:restriction base="dms:Choice">
          <xsd:enumeration value="A"/>
          <xsd:enumeration value="B"/>
          <xsd:enumeration value="C"/>
          <xsd:enumeration value="D"/>
          <xsd:enumeration value="E"/>
          <xsd:enumeration value="F"/>
          <xsd:enumeration value="G"/>
          <xsd:enumeration value="H"/>
          <xsd:enumeration value="I"/>
          <xsd:enumeration value="J"/>
          <xsd:enumeration value="K"/>
        </xsd:restriction>
      </xsd:simpleType>
    </xsd:element>
    <xsd:element name="ICREV_x0023_" ma:index="37" nillable="true" ma:displayName="LATEST IC REV #" ma:format="Dropdown" ma:internalName="ICREV_x0023_">
      <xsd:simpleType>
        <xsd:restriction base="dms:Choice">
          <xsd:enumeration value="A"/>
          <xsd:enumeration value="B"/>
          <xsd:enumeration value="C"/>
          <xsd:enumeration value="D"/>
          <xsd:enumeration value="E"/>
          <xsd:enumeration value="F"/>
          <xsd:enumeration value="G"/>
          <xsd:enumeration value="H"/>
          <xsd:enumeration value="J"/>
          <xsd:enumeration value="K"/>
          <xsd:enumeration value="L"/>
          <xsd:enumeration value="M"/>
        </xsd:restriction>
      </xsd:simpleType>
    </xsd:element>
    <xsd:element name="DOWCOMMENTSHEET_x0023_" ma:index="38" nillable="true" ma:displayName="DOW CS #" ma:format="Dropdown" ma:internalName="DOWCOMMENTSHEET_x0023_">
      <xsd:simpleType>
        <xsd:restriction base="dms:Text">
          <xsd:maxLength value="255"/>
        </xsd:restriction>
      </xsd:simpleType>
    </xsd:element>
    <xsd:element name="ICCS_x0023_" ma:index="39" nillable="true" ma:displayName="IC CS #" ma:format="Dropdown" ma:internalName="ICCS_x0023_">
      <xsd:simpleType>
        <xsd:restriction base="dms:Text">
          <xsd:maxLength value="255"/>
        </xsd:restriction>
      </xsd:simpleType>
    </xsd:element>
    <xsd:element name="NextAction" ma:index="40" nillable="true" ma:displayName="Next Action" ma:format="Dropdown" ma:internalName="NextAction">
      <xsd:simpleType>
        <xsd:restriction base="dms:Choice">
          <xsd:enumeration value="RESUBMISSION"/>
          <xsd:enumeration value="Choice 2"/>
          <xsd:enumeration value="Choice 3"/>
        </xsd:restriction>
      </xsd:simpleType>
    </xsd:element>
    <xsd:element name="In8T_x0023_" ma:index="41" nillable="true" ma:displayName="In8 T #" ma:format="Dropdown" ma:internalName="In8T_x0023_">
      <xsd:simpleType>
        <xsd:restriction base="dms:Text">
          <xsd:maxLength value="255"/>
        </xsd:restriction>
      </xsd:simpleType>
    </xsd:element>
    <xsd:element name="In8TDate" ma:index="42" nillable="true" ma:displayName="In8 T Date" ma:format="DateOnly" ma:internalName="In8TDate">
      <xsd:simpleType>
        <xsd:restriction base="dms:DateTime"/>
      </xsd:simpleType>
    </xsd:element>
    <xsd:element name="ITPSTATUS" ma:index="43" nillable="true" ma:displayName="ITP STATUS" ma:format="Dropdown" ma:internalName="ITPSTATUS">
      <xsd:simpleType>
        <xsd:restriction base="dms:Choice">
          <xsd:enumeration value="APPROVED"/>
          <xsd:enumeration value="UNDER REVIEW"/>
          <xsd:enumeration value="SUPERSEDED"/>
        </xsd:restriction>
      </xsd:simpleType>
    </xsd:element>
    <xsd:element name="MediaServiceBillingMetadata" ma:index="44" nillable="true" ma:displayName="MediaServiceBillingMetadata" ma:hidden="true" ma:internalName="MediaServiceBillingMetadata" ma:readOnly="true">
      <xsd:simpleType>
        <xsd:restriction base="dms:Note"/>
      </xsd:simpleType>
    </xsd:element>
    <xsd:element name="REV" ma:index="45" nillable="true" ma:displayName="REV" ma:description="Revision on Document" ma:format="Dropdown" ma:internalName="REV">
      <xsd:simpleType>
        <xsd:restriction base="dms:Text">
          <xsd:maxLength value="255"/>
        </xsd:restriction>
      </xsd:simpleType>
    </xsd:element>
    <xsd:element name="DateonDocument" ma:index="46" nillable="true" ma:displayName="Date on Document" ma:format="DateOnly" ma:internalName="DateonDocument">
      <xsd:simpleType>
        <xsd:restriction base="dms:DateTime"/>
      </xsd:simpleType>
    </xsd:element>
    <xsd:element name="Hyperlink_KY" ma:index="47" nillable="true" ma:displayName="Hyperlink_KY" ma:description="Hyperlink to folders or files" ma:format="Hyperlink" ma:internalName="Hyperlink_KY">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02de6aa-c8e8-4b9e-a47b-039a63826e9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fe55750-e845-4979-b6c1-b72601190a8d}" ma:internalName="TaxCatchAll" ma:showField="CatchAllData" ma:web="102de6aa-c8e8-4b9e-a47b-039a63826e9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02de6aa-c8e8-4b9e-a47b-039a63826e9d" xsi:nil="true"/>
    <lcf76f155ced4ddcb4097134ff3c332f xmlns="932ff76f-9620-4429-9ff2-5a88b0133bb2">
      <Terms xmlns="http://schemas.microsoft.com/office/infopath/2007/PartnerControls"/>
    </lcf76f155ced4ddcb4097134ff3c332f>
    <SharedWithUsers xmlns="102de6aa-c8e8-4b9e-a47b-039a63826e9d">
      <UserInfo>
        <DisplayName>Lisa Spicer</DisplayName>
        <AccountId>1992</AccountId>
        <AccountType/>
      </UserInfo>
      <UserInfo>
        <DisplayName>John Nicholls</DisplayName>
        <AccountId>1780</AccountId>
        <AccountType/>
      </UserInfo>
    </SharedWithUsers>
    <NextSubmittalDate xmlns="932ff76f-9620-4429-9ff2-5a88b0133bb2" xsi:nil="true"/>
    <Status xmlns="932ff76f-9620-4429-9ff2-5a88b0133bb2" xsi:nil="true"/>
    <LastActionOccured xmlns="932ff76f-9620-4429-9ff2-5a88b0133bb2" xsi:nil="true"/>
    <Remarks xmlns="932ff76f-9620-4429-9ff2-5a88b0133bb2" xsi:nil="true"/>
    <ReviewPeriodbyContractor xmlns="932ff76f-9620-4429-9ff2-5a88b0133bb2" xsi:nil="true"/>
    <LastAction xmlns="932ff76f-9620-4429-9ff2-5a88b0133bb2" xsi:nil="true"/>
    <SubmissionofMgtPlan_x0028_BDfollowingcommdate_x0029_ xmlns="932ff76f-9620-4429-9ff2-5a88b0133bb2" xsi:nil="true"/>
    <Rev_x0023_ xmlns="932ff76f-9620-4429-9ff2-5a88b0133bb2" xsi:nil="true"/>
    <ENTITY xmlns="932ff76f-9620-4429-9ff2-5a88b0133bb2" xsi:nil="true"/>
    <Status1 xmlns="932ff76f-9620-4429-9ff2-5a88b0133bb2">Certified</Status1>
    <_Flow_SignoffStatus xmlns="932ff76f-9620-4429-9ff2-5a88b0133bb2" xsi:nil="true"/>
    <Author0 xmlns="932ff76f-9620-4429-9ff2-5a88b0133bb2">
      <UserInfo>
        <DisplayName/>
        <AccountId xsi:nil="true"/>
        <AccountType/>
      </UserInfo>
    </Author0>
    <JanaganThangarajah xmlns="932ff76f-9620-4429-9ff2-5a88b0133bb2">
      <UserInfo>
        <DisplayName/>
        <AccountId xsi:nil="true"/>
        <AccountType/>
      </UserInfo>
    </JanaganThangarajah>
    <DOWREV_x0023_ xmlns="932ff76f-9620-4429-9ff2-5a88b0133bb2" xsi:nil="true"/>
    <DOWCOMMENTSHEET_x0023_ xmlns="932ff76f-9620-4429-9ff2-5a88b0133bb2" xsi:nil="true"/>
    <ICREV_x0023_ xmlns="932ff76f-9620-4429-9ff2-5a88b0133bb2" xsi:nil="true"/>
    <ICCS_x0023_ xmlns="932ff76f-9620-4429-9ff2-5a88b0133bb2" xsi:nil="true"/>
    <NextAction xmlns="932ff76f-9620-4429-9ff2-5a88b0133bb2" xsi:nil="true"/>
    <In8T_x0023_ xmlns="932ff76f-9620-4429-9ff2-5a88b0133bb2" xsi:nil="true"/>
    <In8TDate xmlns="932ff76f-9620-4429-9ff2-5a88b0133bb2" xsi:nil="true"/>
    <ITPSTATUS xmlns="932ff76f-9620-4429-9ff2-5a88b0133bb2" xsi:nil="true"/>
    <REV xmlns="932ff76f-9620-4429-9ff2-5a88b0133bb2" xsi:nil="true"/>
    <DateonDocument xmlns="932ff76f-9620-4429-9ff2-5a88b0133bb2" xsi:nil="true"/>
    <Hyperlink_KY xmlns="932ff76f-9620-4429-9ff2-5a88b0133bb2">
      <Url xsi:nil="true"/>
      <Description xsi:nil="true"/>
    </Hyperlink_KY>
  </documentManagement>
</p:properties>
</file>

<file path=customXml/itemProps1.xml><?xml version="1.0" encoding="utf-8"?>
<ds:datastoreItem xmlns:ds="http://schemas.openxmlformats.org/officeDocument/2006/customXml" ds:itemID="{7CB46766-8F80-495B-BBD3-82319A904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2ff76f-9620-4429-9ff2-5a88b0133bb2"/>
    <ds:schemaRef ds:uri="102de6aa-c8e8-4b9e-a47b-039a63826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26C7C9-6094-4934-84CD-79348EC92CF7}">
  <ds:schemaRefs>
    <ds:schemaRef ds:uri="http://schemas.microsoft.com/sharepoint/v3/contenttype/forms"/>
  </ds:schemaRefs>
</ds:datastoreItem>
</file>

<file path=customXml/itemProps3.xml><?xml version="1.0" encoding="utf-8"?>
<ds:datastoreItem xmlns:ds="http://schemas.openxmlformats.org/officeDocument/2006/customXml" ds:itemID="{DD7A92A8-0759-420B-A800-5C34C23758BC}">
  <ds:schemaRefs>
    <ds:schemaRef ds:uri="http://www.w3.org/XML/1998/namespace"/>
    <ds:schemaRef ds:uri="http://purl.org/dc/dcmitype/"/>
    <ds:schemaRef ds:uri="http://schemas.microsoft.com/office/2006/metadata/properties"/>
    <ds:schemaRef ds:uri="http://schemas.microsoft.com/office/2006/documentManagement/types"/>
    <ds:schemaRef ds:uri="http://schemas.microsoft.com/office/infopath/2007/PartnerControls"/>
    <ds:schemaRef ds:uri="932ff76f-9620-4429-9ff2-5a88b0133bb2"/>
    <ds:schemaRef ds:uri="http://schemas.openxmlformats.org/package/2006/metadata/core-properties"/>
    <ds:schemaRef ds:uri="102de6aa-c8e8-4b9e-a47b-039a63826e9d"/>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Instructions</vt:lpstr>
      <vt:lpstr>_Template</vt:lpstr>
      <vt:lpstr>Summary</vt:lpstr>
      <vt:lpstr>CEMP and General Requirements</vt:lpstr>
      <vt:lpstr>PFAS CMP Requirements</vt:lpstr>
      <vt:lpstr>ADR WWBW Conditions</vt:lpstr>
      <vt:lpstr>Bridge Creek DA Conditions</vt:lpstr>
      <vt:lpstr>No Name DA Conditions</vt:lpstr>
      <vt:lpstr>Marine Plants DA Conditions</vt:lpstr>
      <vt:lpstr>No Name Operational Works</vt:lpstr>
      <vt:lpstr>External CHMP Conditions</vt:lpstr>
      <vt:lpstr>RPP Exemption</vt:lpstr>
      <vt:lpstr>Specification Requirements</vt:lpstr>
      <vt:lpstr>Reporting Matrix</vt:lpstr>
      <vt:lpstr>Legislation</vt:lpstr>
      <vt:lpstr>_Doc Ref</vt:lpstr>
      <vt:lpstr>Instructions!Assumptions</vt:lpstr>
      <vt:lpstr>Instructions!OLE_LINK1</vt:lpstr>
      <vt:lpstr>_Template!Print_Area</vt:lpstr>
      <vt:lpstr>'ADR WWBW Conditions'!Print_Area</vt:lpstr>
      <vt:lpstr>'External CHMP Conditions'!Print_Area</vt:lpstr>
      <vt:lpstr>Instructions!Print_Area</vt:lpstr>
      <vt:lpstr>Legislation!Print_Area</vt:lpstr>
      <vt:lpstr>'Marine Plants DA Conditions'!Print_Area</vt:lpstr>
      <vt:lpstr>'RPP Exemption'!Print_Area</vt:lpstr>
      <vt:lpstr>'Specification Requirements'!Print_Area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DG-ZH-TP002.1 Environmental Compliance Obligations Register</dc:title>
  <dc:subject/>
  <dc:creator>Ricky.Bridge</dc:creator>
  <cp:keywords>Document Management, IMS Update, Document Update, document type</cp:keywords>
  <dc:description/>
  <cp:lastModifiedBy>Richard  Kightley</cp:lastModifiedBy>
  <cp:revision/>
  <dcterms:created xsi:type="dcterms:W3CDTF">2014-03-13T04:37:23Z</dcterms:created>
  <dcterms:modified xsi:type="dcterms:W3CDTF">2026-09-25T02:46:10Z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576b2ba9-6b8a-45b7-8f20-5663fd812422</vt:lpwstr>
  </property>
  <property fmtid="{D5CDD505-2E9C-101B-9397-08002B2CF9AE}" pid="3" name="ContentTypeId">
    <vt:lpwstr>0x010100E9134778B816D848AFAAAA206E6B12EC</vt:lpwstr>
  </property>
  <property fmtid="{D5CDD505-2E9C-101B-9397-08002B2CF9AE}" pid="4" name="TaxKeyword">
    <vt:lpwstr/>
  </property>
  <property fmtid="{D5CDD505-2E9C-101B-9397-08002B2CF9AE}" pid="5" name="Order">
    <vt:r8>606800</vt:r8>
  </property>
  <property fmtid="{D5CDD505-2E9C-101B-9397-08002B2CF9AE}" pid="6" name="Quality Stream WF">
    <vt:lpwstr>https://downergroup.sharepoint.com/sites/TheDownerStandard/_layouts/15/wrkstat.aspx?List=4be77fb4-4602-489d-a459-258920f5620c&amp;WorkflowInstanceName=5822bb6f-0cc8-45ee-84ac-e09aaf98b380, Stage 2</vt:lpwstr>
  </property>
  <property fmtid="{D5CDD505-2E9C-101B-9397-08002B2CF9AE}" pid="7" name="IMS Category">
    <vt:lpwstr/>
  </property>
  <property fmtid="{D5CDD505-2E9C-101B-9397-08002B2CF9AE}" pid="8" name="Level0">
    <vt:lpwstr>Manage Enterprise Quality</vt:lpwstr>
  </property>
  <property fmtid="{D5CDD505-2E9C-101B-9397-08002B2CF9AE}" pid="9" name="Level1">
    <vt:lpwstr>Implement and Maintain the EQMS</vt:lpwstr>
  </property>
  <property fmtid="{D5CDD505-2E9C-101B-9397-08002B2CF9AE}" pid="10" name="Level2">
    <vt:lpwstr>Develop and Document EQMS Policies, Procedures, Standards and Measures</vt:lpwstr>
  </property>
  <property fmtid="{D5CDD505-2E9C-101B-9397-08002B2CF9AE}" pid="11" name="IMS Document Type">
    <vt:lpwstr>Template</vt:lpwstr>
  </property>
  <property fmtid="{D5CDD505-2E9C-101B-9397-08002B2CF9AE}" pid="12" name="_dlc_DocId">
    <vt:lpwstr>GIMSLIB-293080871-221</vt:lpwstr>
  </property>
  <property fmtid="{D5CDD505-2E9C-101B-9397-08002B2CF9AE}" pid="13" name="_dlc_DocIdUrl">
    <vt:lpwstr>https://downergroup.sharepoint.com/sites/TheDownerStandard/_layouts/15/DocIdRedir.aspx?ID=GIMSLIB-293080871-221, GIMSLIB-293080871-221</vt:lpwstr>
  </property>
  <property fmtid="{D5CDD505-2E9C-101B-9397-08002B2CF9AE}" pid="14" name="_dlc_DocIdPersistId">
    <vt:bool>false</vt:bool>
  </property>
  <property fmtid="{D5CDD505-2E9C-101B-9397-08002B2CF9AE}" pid="15" name="TDS-L0">
    <vt:lpwstr>;#29 Quality;#</vt:lpwstr>
  </property>
  <property fmtid="{D5CDD505-2E9C-101B-9397-08002B2CF9AE}" pid="16" name="TDS-getDocumentCode">
    <vt:lpwstr>DG-QA-TP010</vt:lpwstr>
  </property>
  <property fmtid="{D5CDD505-2E9C-101B-9397-08002B2CF9AE}" pid="17" name="TDS-Document Type">
    <vt:lpwstr>Template</vt:lpwstr>
  </property>
  <property fmtid="{D5CDD505-2E9C-101B-9397-08002B2CF9AE}" pid="18" name="TDS-L1">
    <vt:lpwstr>29.05 Implement and Maintain the EQMS</vt:lpwstr>
  </property>
  <property fmtid="{D5CDD505-2E9C-101B-9397-08002B2CF9AE}" pid="19" name="TDS-L2">
    <vt:lpwstr>29.05.03 Develop and Document EQMS Policies, Procedures, Standards and Measures</vt:lpwstr>
  </property>
  <property fmtid="{D5CDD505-2E9C-101B-9397-08002B2CF9AE}" pid="20" name="TDS-Security">
    <vt:lpwstr>Internal Use Only</vt:lpwstr>
  </property>
  <property fmtid="{D5CDD505-2E9C-101B-9397-08002B2CF9AE}" pid="21" name="TDS-Document Owner">
    <vt:lpwstr>34</vt:lpwstr>
  </property>
  <property fmtid="{D5CDD505-2E9C-101B-9397-08002B2CF9AE}" pid="22" name="TDS-Document List">
    <vt:lpwstr>Y</vt:lpwstr>
  </property>
  <property fmtid="{D5CDD505-2E9C-101B-9397-08002B2CF9AE}" pid="23" name="TDS-Geography">
    <vt:lpwstr>;#All;#Australia;#New Zealand;#</vt:lpwstr>
  </property>
  <property fmtid="{D5CDD505-2E9C-101B-9397-08002B2CF9AE}" pid="24" name="TDS-BU Applicable To">
    <vt:lpwstr>All</vt:lpwstr>
  </property>
  <property fmtid="{D5CDD505-2E9C-101B-9397-08002B2CF9AE}" pid="25" name="TDS-Keywords">
    <vt:lpwstr>DGQATP010 DGQA QATP010 TP010 DG QA document documents doc docs update new type IMS Integrated management system work book wrk wrkbook</vt:lpwstr>
  </property>
  <property fmtid="{D5CDD505-2E9C-101B-9397-08002B2CF9AE}" pid="26" name="Function Network Code">
    <vt:lpwstr>QA</vt:lpwstr>
  </property>
  <property fmtid="{D5CDD505-2E9C-101B-9397-08002B2CF9AE}" pid="27" name="Topic">
    <vt:lpwstr>Document Templates</vt:lpwstr>
  </property>
  <property fmtid="{D5CDD505-2E9C-101B-9397-08002B2CF9AE}" pid="28" name="KeyDocument">
    <vt:bool>false</vt:bool>
  </property>
  <property fmtid="{D5CDD505-2E9C-101B-9397-08002B2CF9AE}" pid="29" name="TaxCatchAll">
    <vt:lpwstr/>
  </property>
  <property fmtid="{D5CDD505-2E9C-101B-9397-08002B2CF9AE}" pid="30" name="IMS Document Type Code">
    <vt:lpwstr>TP</vt:lpwstr>
  </property>
  <property fmtid="{D5CDD505-2E9C-101B-9397-08002B2CF9AE}" pid="31" name="Division or Line of Business or Capability Code  Description">
    <vt:lpwstr>Downer Group</vt:lpwstr>
  </property>
  <property fmtid="{D5CDD505-2E9C-101B-9397-08002B2CF9AE}" pid="32" name="Document Title">
    <vt:lpwstr>DG-QA-TP010 Workbook</vt:lpwstr>
  </property>
  <property fmtid="{D5CDD505-2E9C-101B-9397-08002B2CF9AE}" pid="33" name="Flowchart">
    <vt:lpwstr>, </vt:lpwstr>
  </property>
  <property fmtid="{D5CDD505-2E9C-101B-9397-08002B2CF9AE}" pid="34" name="Division or Line of Business or Capability Code">
    <vt:lpwstr>DG</vt:lpwstr>
  </property>
  <property fmtid="{D5CDD505-2E9C-101B-9397-08002B2CF9AE}" pid="35" name="Document Type">
    <vt:lpwstr>Template</vt:lpwstr>
  </property>
  <property fmtid="{D5CDD505-2E9C-101B-9397-08002B2CF9AE}" pid="36" name="gcc08ae524954108ab3bcc174ffa3f80">
    <vt:lpwstr/>
  </property>
  <property fmtid="{D5CDD505-2E9C-101B-9397-08002B2CF9AE}" pid="37" name="Trigger">
    <vt:lpwstr>A</vt:lpwstr>
  </property>
  <property fmtid="{D5CDD505-2E9C-101B-9397-08002B2CF9AE}" pid="38" name="xd_ProgID">
    <vt:lpwstr/>
  </property>
  <property fmtid="{D5CDD505-2E9C-101B-9397-08002B2CF9AE}" pid="39" name="SharedWithUsers">
    <vt:lpwstr/>
  </property>
  <property fmtid="{D5CDD505-2E9C-101B-9397-08002B2CF9AE}" pid="40" name="CompletedbyGPO/GPL?">
    <vt:bool>false</vt:bool>
  </property>
  <property fmtid="{D5CDD505-2E9C-101B-9397-08002B2CF9AE}" pid="41" name="DraftFinalised(JJ)">
    <vt:bool>false</vt:bool>
  </property>
  <property fmtid="{D5CDD505-2E9C-101B-9397-08002B2CF9AE}" pid="42" name="ComplianceAssetId">
    <vt:lpwstr/>
  </property>
  <property fmtid="{D5CDD505-2E9C-101B-9397-08002B2CF9AE}" pid="43" name="TemplateUrl">
    <vt:lpwstr/>
  </property>
  <property fmtid="{D5CDD505-2E9C-101B-9397-08002B2CF9AE}" pid="44" name="ShouldBePartofTDS">
    <vt:bool>true</vt:bool>
  </property>
  <property fmtid="{D5CDD505-2E9C-101B-9397-08002B2CF9AE}" pid="45" name="Discussed/giventoGPO/GPL?">
    <vt:bool>false</vt:bool>
  </property>
  <property fmtid="{D5CDD505-2E9C-101B-9397-08002B2CF9AE}" pid="46" name="_ExtendedDescription">
    <vt:lpwstr/>
  </property>
  <property fmtid="{D5CDD505-2E9C-101B-9397-08002B2CF9AE}" pid="47" name="DocumentUpdatedReadyforTDS">
    <vt:bool>false</vt:bool>
  </property>
  <property fmtid="{D5CDD505-2E9C-101B-9397-08002B2CF9AE}" pid="48" name="xd_Signature">
    <vt:bool>false</vt:bool>
  </property>
  <property fmtid="{D5CDD505-2E9C-101B-9397-08002B2CF9AE}" pid="49" name="TDS BUs ID">
    <vt:lpwstr>51;16;15;17;19;21;20;22;45;35;37;46</vt:lpwstr>
  </property>
  <property fmtid="{D5CDD505-2E9C-101B-9397-08002B2CF9AE}" pid="50" name="TDS BUs Filter">
    <vt:lpwstr>;#AU CO (AU Corp);#AU DS (Defence);#AU FAS (Facilities and Asset Services);#AU IP (Infrastructure Projects);#AU MT (Mineral Technologies);#AU RS (Road Services);#AU RTS (Rail and Transit Systems);#AU UT (Utilities);#NZ CO (Corporate);#NZ FS (Facilities);#NZ TR (Transport);#NZ UT (Utilities);#</vt:lpwstr>
  </property>
  <property fmtid="{D5CDD505-2E9C-101B-9397-08002B2CF9AE}" pid="51" name="TDS-BU NZ">
    <vt:lpwstr>;#NZ BP (Building Projects);#NZ Corp;#NZ IP (Infra Projects);#NZ FS (Facilities Services Utilities);#NZ TR (Transportation);#</vt:lpwstr>
  </property>
  <property fmtid="{D5CDD505-2E9C-101B-9397-08002B2CF9AE}" pid="52" name="TDS-BU AU">
    <vt:lpwstr>;#AU AS (Asset Services);#AU Corp;#AU DS (Defence);#AU IP (Infra Projects);#AU MT (Mineral Technologies);#AU RS (Road Services);#AU RTS (Rail and Transit Systems);#AU UT (Utilities);#</vt:lpwstr>
  </property>
  <property fmtid="{D5CDD505-2E9C-101B-9397-08002B2CF9AE}" pid="53" name="TDS-BU SPO">
    <vt:lpwstr>;#SPO AD (Asset and Development Services);#SPO Corp;#SPO DI (Defence and Critical Infra);#SPO GD (Government and Citizen Services);#SPO HE (Health and Education);#SPO HI (Hospitality and Industries);#SPO LD (Laundries);#</vt:lpwstr>
  </property>
  <property fmtid="{D5CDD505-2E9C-101B-9397-08002B2CF9AE}" pid="54" name="MediaServiceImageTags">
    <vt:lpwstr/>
  </property>
</Properties>
</file>

<file path=userCustomization/customUI.xml><?xml version="1.0" encoding="utf-8"?>
<mso:customUI xmlns:doc="http://schemas.microsoft.com/office/2006/01/customui/currentDocument" xmlns:mso="http://schemas.microsoft.com/office/2006/01/customui">
  <mso:ribbon>
    <mso:qat>
      <mso:documentControls>
        <mso:button idQ="doc:FullWidth_1" visible="true" label="FullWidth" imageMso="FrameCreateAbove" onAction="FullWidth"/>
        <mso:button idQ="doc:OneColumn_1" visible="true" label="OneColumn" imageMso="FrameCreateLeft" onAction="OneColumn"/>
      </mso:documentControls>
    </mso:qat>
  </mso:ribbon>
</mso:customUI>
</file>